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&amp;S" sheetId="1" r:id="rId4"/>
    <sheet state="visible" name="Fit dps de R&amp;S" sheetId="2" r:id="rId5"/>
    <sheet state="visible" name="Cópia de Fit dps de R&amp;S" sheetId="3" r:id="rId6"/>
    <sheet state="visible" name="Cópia de Cópia de R&amp;S" sheetId="4" r:id="rId7"/>
    <sheet state="visible" name="Consultoria" sheetId="5" r:id="rId8"/>
    <sheet state="visible" name="Treinamento  desenvolvimento" sheetId="6" r:id="rId9"/>
    <sheet state="visible" name="Pesquisa de clima org." sheetId="7" r:id="rId10"/>
  </sheets>
  <definedNames/>
  <calcPr/>
</workbook>
</file>

<file path=xl/sharedStrings.xml><?xml version="1.0" encoding="utf-8"?>
<sst xmlns="http://schemas.openxmlformats.org/spreadsheetml/2006/main" count="146" uniqueCount="32">
  <si>
    <t>ORÇAMENTO DO SERVIÇO – R&amp;S</t>
  </si>
  <si>
    <t>Descrição</t>
  </si>
  <si>
    <t>Horas</t>
  </si>
  <si>
    <t>Modalidade Presencial</t>
  </si>
  <si>
    <t>Reuniões com o cliente</t>
  </si>
  <si>
    <t>Taxas de serviço</t>
  </si>
  <si>
    <t>Reuniões internas para desenvolvimento</t>
  </si>
  <si>
    <t>Deslocamento</t>
  </si>
  <si>
    <t>Criação e filtração de vagas</t>
  </si>
  <si>
    <t>Material</t>
  </si>
  <si>
    <t>Dinâmica em grupo</t>
  </si>
  <si>
    <t>Total</t>
  </si>
  <si>
    <t>Entrevista individual</t>
  </si>
  <si>
    <t>Serviço + taxas</t>
  </si>
  <si>
    <t>Total (horas)</t>
  </si>
  <si>
    <t>Preço Final</t>
  </si>
  <si>
    <t>Desconto 50%</t>
  </si>
  <si>
    <t>Desconto 40%</t>
  </si>
  <si>
    <t>Valor total</t>
  </si>
  <si>
    <t>Desconto 15%</t>
  </si>
  <si>
    <t>Valor com Desconto</t>
  </si>
  <si>
    <t>Preço com desconto</t>
  </si>
  <si>
    <t>Deconto 40%</t>
  </si>
  <si>
    <t>ORÇAMENTO DO SERVIÇO – CONSULTORIA</t>
  </si>
  <si>
    <t xml:space="preserve">Aplicação do serviço </t>
  </si>
  <si>
    <t>ORÇAMENTO DO SERVIÇO – TREINAMENTO E DESENVOLVIMENTO DE PESSOAS</t>
  </si>
  <si>
    <r>
      <rPr>
        <rFont val="Times New Roman"/>
        <b/>
        <color theme="1"/>
        <sz val="12.0"/>
      </rPr>
      <t>-</t>
    </r>
    <r>
      <rPr>
        <rFont val="Times New Roman"/>
        <b val="0"/>
        <color theme="1"/>
        <sz val="12.0"/>
      </rPr>
      <t xml:space="preserve"> Treinameno em comunicação assertiva  - 1h30</t>
    </r>
  </si>
  <si>
    <r>
      <rPr>
        <rFont val="Times New Roman"/>
        <b/>
        <color theme="1"/>
        <sz val="12.0"/>
      </rPr>
      <t>-</t>
    </r>
    <r>
      <rPr>
        <rFont val="Times New Roman"/>
        <b val="0"/>
        <color theme="1"/>
        <sz val="12.0"/>
      </rPr>
      <t xml:space="preserve"> Treinameno em regulação emocional - 1h30</t>
    </r>
  </si>
  <si>
    <t>- Treinamento em gestão de tempo - 1h30</t>
  </si>
  <si>
    <t>- Treinamento em cultura organizacional</t>
  </si>
  <si>
    <t xml:space="preserve">ORÇAMENTO DO SERVIÇO – PESQUISA </t>
  </si>
  <si>
    <t>Aplicação da pesquisa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</si>
</sst>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9">
    <font>
      <sz val="10.0"/>
      <color rgb="FF000000"/>
      <name val="Arial"/>
      <scheme val="minor"/>
    </font>
    <font>
      <sz val="16.0"/>
      <color rgb="FF000000"/>
      <name val="&quot;Times New Roman&quot;"/>
    </font>
    <font>
      <b/>
      <sz val="12.0"/>
      <color rgb="FFFFFFFF"/>
      <name val="&quot;Times New Roman&quot;"/>
    </font>
    <font/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91582"/>
        <bgColor rgb="FF691582"/>
      </patternFill>
    </fill>
    <fill>
      <patternFill patternType="solid">
        <fgColor rgb="FFF9F7FF"/>
        <bgColor rgb="FFF9F7FF"/>
      </patternFill>
    </fill>
    <fill>
      <patternFill patternType="solid">
        <fgColor rgb="FFF6FFFF"/>
        <bgColor rgb="FFF6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91582"/>
      </right>
      <top style="thin">
        <color rgb="FF8EAADB"/>
      </top>
      <bottom style="thin">
        <color rgb="FF691582"/>
      </bottom>
    </border>
    <border>
      <left style="thin">
        <color rgb="FF691582"/>
      </left>
      <right style="thin">
        <color rgb="FF000000"/>
      </right>
      <top style="thin">
        <color rgb="FF000000"/>
      </top>
      <bottom style="thin">
        <color rgb="FF691582"/>
      </bottom>
    </border>
    <border>
      <left style="thin">
        <color rgb="FF000000"/>
      </left>
      <right style="thin">
        <color rgb="FF691582"/>
      </right>
      <top style="thin">
        <color rgb="FF691582"/>
      </top>
      <bottom style="thin">
        <color rgb="FF691582"/>
      </bottom>
    </border>
    <border>
      <left style="thin">
        <color rgb="FF691582"/>
      </left>
      <right style="thin">
        <color rgb="FF000000"/>
      </right>
      <top style="thin">
        <color rgb="FF691582"/>
      </top>
      <bottom style="thin">
        <color rgb="FF691582"/>
      </bottom>
    </border>
    <border>
      <left style="thin">
        <color rgb="FF000000"/>
      </left>
      <right style="thin">
        <color rgb="FF691582"/>
      </right>
      <top style="thin">
        <color rgb="FF691582"/>
      </top>
      <bottom style="thin">
        <color rgb="FF000000"/>
      </bottom>
    </border>
    <border>
      <left style="thin">
        <color rgb="FF691582"/>
      </left>
      <right style="thin">
        <color rgb="FF000000"/>
      </right>
      <top style="thin">
        <color rgb="FF691582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3" fillId="2" fontId="2" numFmtId="0" xfId="0" applyAlignment="1" applyBorder="1" applyFill="1" applyFont="1">
      <alignment horizontal="center" readingOrder="0" shrinkToFit="0" wrapText="1"/>
    </xf>
    <xf borderId="4" fillId="2" fontId="3" numFmtId="0" xfId="0" applyBorder="1" applyFont="1"/>
    <xf borderId="5" fillId="0" fontId="4" numFmtId="0" xfId="0" applyAlignment="1" applyBorder="1" applyFont="1">
      <alignment horizontal="left" readingOrder="0" shrinkToFit="0" wrapText="1"/>
    </xf>
    <xf borderId="6" fillId="0" fontId="5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wrapText="1"/>
    </xf>
    <xf borderId="3" fillId="3" fontId="6" numFmtId="0" xfId="0" applyAlignment="1" applyBorder="1" applyFill="1" applyFont="1">
      <alignment horizontal="center" readingOrder="0"/>
    </xf>
    <xf borderId="4" fillId="3" fontId="3" numFmtId="0" xfId="0" applyBorder="1" applyFont="1"/>
    <xf borderId="7" fillId="0" fontId="4" numFmtId="0" xfId="0" applyAlignment="1" applyBorder="1" applyFont="1">
      <alignment horizontal="left" readingOrder="0" shrinkToFit="0" wrapText="1"/>
    </xf>
    <xf borderId="8" fillId="0" fontId="5" numFmtId="0" xfId="0" applyAlignment="1" applyBorder="1" applyFont="1">
      <alignment horizontal="left" readingOrder="0" shrinkToFit="0" vertical="top" wrapText="1"/>
    </xf>
    <xf borderId="2" fillId="4" fontId="6" numFmtId="0" xfId="0" applyAlignment="1" applyBorder="1" applyFill="1" applyFont="1">
      <alignment readingOrder="0" vertical="center"/>
    </xf>
    <xf borderId="2" fillId="4" fontId="7" numFmtId="164" xfId="0" applyAlignment="1" applyBorder="1" applyFont="1" applyNumberFormat="1">
      <alignment readingOrder="0"/>
    </xf>
    <xf borderId="2" fillId="3" fontId="6" numFmtId="0" xfId="0" applyAlignment="1" applyBorder="1" applyFont="1">
      <alignment readingOrder="0"/>
    </xf>
    <xf borderId="2" fillId="3" fontId="6" numFmtId="164" xfId="0" applyAlignment="1" applyBorder="1" applyFont="1" applyNumberFormat="1">
      <alignment readingOrder="0"/>
    </xf>
    <xf borderId="2" fillId="4" fontId="6" numFmtId="0" xfId="0" applyAlignment="1" applyBorder="1" applyFont="1">
      <alignment readingOrder="0"/>
    </xf>
    <xf borderId="2" fillId="4" fontId="8" numFmtId="164" xfId="0" applyAlignment="1" applyBorder="1" applyFont="1" applyNumberFormat="1">
      <alignment readingOrder="0"/>
    </xf>
    <xf borderId="2" fillId="3" fontId="4" numFmtId="0" xfId="0" applyAlignment="1" applyBorder="1" applyFont="1">
      <alignment horizontal="left" readingOrder="0" shrinkToFit="0" wrapText="1"/>
    </xf>
    <xf borderId="2" fillId="3" fontId="4" numFmtId="164" xfId="0" applyAlignment="1" applyBorder="1" applyFont="1" applyNumberFormat="1">
      <alignment horizontal="right" readingOrder="0" shrinkToFit="0" wrapText="1"/>
    </xf>
    <xf borderId="9" fillId="0" fontId="4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left" readingOrder="0" shrinkToFit="0" wrapText="1"/>
    </xf>
    <xf borderId="0" fillId="4" fontId="4" numFmtId="164" xfId="0" applyAlignment="1" applyFont="1" applyNumberFormat="1">
      <alignment horizontal="right" readingOrder="0" shrinkToFit="0" wrapText="1"/>
    </xf>
    <xf borderId="2" fillId="0" fontId="6" numFmtId="0" xfId="0" applyAlignment="1" applyBorder="1" applyFont="1">
      <alignment readingOrder="0"/>
    </xf>
    <xf borderId="2" fillId="0" fontId="7" numFmtId="164" xfId="0" applyBorder="1" applyFont="1" applyNumberFormat="1"/>
    <xf borderId="0" fillId="0" fontId="6" numFmtId="0" xfId="0" applyAlignment="1" applyFont="1">
      <alignment readingOrder="0"/>
    </xf>
    <xf borderId="2" fillId="3" fontId="7" numFmtId="164" xfId="0" applyBorder="1" applyFont="1" applyNumberFormat="1"/>
    <xf borderId="2" fillId="4" fontId="7" numFmtId="164" xfId="0" applyBorder="1" applyFont="1" applyNumberFormat="1"/>
    <xf borderId="2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right" readingOrder="0"/>
    </xf>
    <xf borderId="0" fillId="3" fontId="4" numFmtId="0" xfId="0" applyAlignment="1" applyFont="1">
      <alignment horizontal="left" readingOrder="0" shrinkToFit="0" wrapText="1"/>
    </xf>
    <xf borderId="0" fillId="3" fontId="4" numFmtId="0" xfId="0" applyAlignment="1" applyFont="1">
      <alignment horizontal="right" readingOrder="0" shrinkToFit="0" wrapText="1"/>
    </xf>
    <xf borderId="2" fillId="0" fontId="7" numFmtId="164" xfId="0" applyAlignment="1" applyBorder="1" applyFont="1" applyNumberFormat="1">
      <alignment horizontal="right"/>
    </xf>
    <xf borderId="0" fillId="0" fontId="6" numFmtId="0" xfId="0" applyAlignment="1" applyFont="1">
      <alignment horizontal="center" readingOrder="0"/>
    </xf>
    <xf borderId="2" fillId="0" fontId="7" numFmtId="164" xfId="0" applyAlignment="1" applyBorder="1" applyFont="1" applyNumberFormat="1">
      <alignment horizontal="right" readingOrder="0"/>
    </xf>
    <xf borderId="0" fillId="3" fontId="4" numFmtId="164" xfId="0" applyAlignment="1" applyFont="1" applyNumberFormat="1">
      <alignment horizontal="right" readingOrder="0" shrinkToFit="0" wrapText="1"/>
    </xf>
    <xf borderId="10" fillId="0" fontId="5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horizontal="center" readingOrder="0"/>
    </xf>
    <xf borderId="0" fillId="0" fontId="7" numFmtId="164" xfId="0" applyFont="1" applyNumberFormat="1"/>
    <xf borderId="0" fillId="0" fontId="4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horizontal="right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right"/>
    </xf>
    <xf borderId="10" fillId="0" fontId="5" numFmtId="0" xfId="0" applyAlignment="1" applyBorder="1" applyFont="1">
      <alignment horizontal="left" shrinkToFit="0" vertical="top" wrapText="1"/>
    </xf>
    <xf borderId="11" fillId="0" fontId="6" numFmtId="0" xfId="0" applyAlignment="1" applyBorder="1" applyFont="1">
      <alignment readingOrder="0"/>
    </xf>
    <xf borderId="12" fillId="0" fontId="7" numFmtId="164" xfId="0" applyBorder="1" applyFont="1" applyNumberFormat="1"/>
    <xf borderId="12" fillId="0" fontId="6" numFmtId="0" xfId="0" applyAlignment="1" applyBorder="1" applyFont="1">
      <alignment readingOrder="0"/>
    </xf>
    <xf borderId="13" fillId="0" fontId="7" numFmtId="164" xfId="0" applyBorder="1" applyFont="1" applyNumberFormat="1"/>
    <xf borderId="12" fillId="0" fontId="3" numFmtId="0" xfId="0" applyBorder="1" applyFont="1"/>
    <xf borderId="13" fillId="0" fontId="3" numFmtId="0" xfId="0" applyBorder="1" applyFont="1"/>
    <xf borderId="0" fillId="0" fontId="8" numFmtId="0" xfId="0" applyAlignment="1" applyFont="1">
      <alignment readingOrder="0"/>
    </xf>
    <xf borderId="14" fillId="0" fontId="3" numFmtId="0" xfId="0" applyBorder="1" applyFont="1"/>
    <xf borderId="15" fillId="0" fontId="8" numFmtId="0" xfId="0" applyAlignment="1" applyBorder="1" applyFont="1">
      <alignment readingOrder="0"/>
    </xf>
    <xf borderId="16" fillId="0" fontId="3" numFmtId="0" xfId="0" applyBorder="1" applyFont="1"/>
    <xf borderId="17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91582"/>
          <bgColor rgb="FF691582"/>
        </patternFill>
      </fill>
      <border/>
    </dxf>
    <dxf>
      <font/>
      <fill>
        <patternFill patternType="solid">
          <fgColor rgb="FFF9F7FF"/>
          <bgColor rgb="FFF9F7FF"/>
        </patternFill>
      </fill>
      <border/>
    </dxf>
    <dxf>
      <font/>
      <fill>
        <patternFill patternType="solid">
          <fgColor rgb="FFF6FFFF"/>
          <bgColor rgb="FFF6FFFF"/>
        </patternFill>
      </fill>
      <border/>
    </dxf>
  </dxfs>
  <tableStyles count="9">
    <tableStyle count="3" pivot="0" name="R&amp;S-style">
      <tableStyleElement dxfId="1" type="headerRow"/>
      <tableStyleElement dxfId="2" type="firstRowStripe"/>
      <tableStyleElement dxfId="3" type="secondRowStripe"/>
    </tableStyle>
    <tableStyle count="3" pivot="0" name="Fit dps de R&amp;S-style">
      <tableStyleElement dxfId="1" type="headerRow"/>
      <tableStyleElement dxfId="2" type="firstRowStripe"/>
      <tableStyleElement dxfId="3" type="secondRowStripe"/>
    </tableStyle>
    <tableStyle count="2" pivot="0" name="Fit dps de R&amp;S-style 2">
      <tableStyleElement dxfId="3" type="firstRowStripe"/>
      <tableStyleElement dxfId="2" type="secondRowStripe"/>
    </tableStyle>
    <tableStyle count="3" pivot="0" name="Cópia de Fit dps de R&amp;S-style">
      <tableStyleElement dxfId="1" type="headerRow"/>
      <tableStyleElement dxfId="2" type="firstRowStripe"/>
      <tableStyleElement dxfId="3" type="secondRowStripe"/>
    </tableStyle>
    <tableStyle count="2" pivot="0" name="Cópia de Fit dps de R&amp;S-style 2">
      <tableStyleElement dxfId="3" type="firstRowStripe"/>
      <tableStyleElement dxfId="2" type="secondRowStripe"/>
    </tableStyle>
    <tableStyle count="3" pivot="0" name="Cópia de Cópia de R&amp;S-style">
      <tableStyleElement dxfId="1" type="headerRow"/>
      <tableStyleElement dxfId="2" type="firstRowStripe"/>
      <tableStyleElement dxfId="3" type="secondRowStripe"/>
    </tableStyle>
    <tableStyle count="3" pivot="0" name="Consultoria-style">
      <tableStyleElement dxfId="1" type="headerRow"/>
      <tableStyleElement dxfId="2" type="firstRowStripe"/>
      <tableStyleElement dxfId="3" type="secondRowStripe"/>
    </tableStyle>
    <tableStyle count="3" pivot="0" name="Treinamento  desenvolvimento-style">
      <tableStyleElement dxfId="1" type="headerRow"/>
      <tableStyleElement dxfId="2" type="firstRowStripe"/>
      <tableStyleElement dxfId="3" type="secondRowStripe"/>
    </tableStyle>
    <tableStyle count="3" pivot="0" name="Pesquisa de clima org.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14" displayName="Table_1" name="Table_1" id="1">
  <tableColumns count="2">
    <tableColumn name="Descrição" id="1"/>
    <tableColumn name="Horas" id="2"/>
  </tableColumns>
  <tableStyleInfo name="R&amp;S-style" showColumnStripes="0" showFirstColumn="1" showLastColumn="1" showRowStripes="1"/>
</table>
</file>

<file path=xl/tables/table2.xml><?xml version="1.0" encoding="utf-8"?>
<table xmlns="http://schemas.openxmlformats.org/spreadsheetml/2006/main" ref="A3:B11" displayName="Table_2" name="Table_2" id="2">
  <tableColumns count="2">
    <tableColumn name="Descrição" id="1"/>
    <tableColumn name="Horas" id="2"/>
  </tableColumns>
  <tableStyleInfo name="Fit dps de R&amp;S-style" showColumnStripes="0" showFirstColumn="1" showLastColumn="1" showRowStripes="1"/>
</table>
</file>

<file path=xl/tables/table3.xml><?xml version="1.0" encoding="utf-8"?>
<table xmlns="http://schemas.openxmlformats.org/spreadsheetml/2006/main" headerRowCount="0" ref="D14:E15" displayName="Table_3" name="Table_3" id="3">
  <tableColumns count="2">
    <tableColumn name="Column1" id="1"/>
    <tableColumn name="Column2" id="2"/>
  </tableColumns>
  <tableStyleInfo name="Fit dps de R&amp;S-style 2" showColumnStripes="0" showFirstColumn="1" showLastColumn="1" showRowStripes="1"/>
</table>
</file>

<file path=xl/tables/table4.xml><?xml version="1.0" encoding="utf-8"?>
<table xmlns="http://schemas.openxmlformats.org/spreadsheetml/2006/main" ref="A3:B11" displayName="Table_4" name="Table_4" id="4">
  <tableColumns count="2">
    <tableColumn name="Descrição" id="1"/>
    <tableColumn name="Horas" id="2"/>
  </tableColumns>
  <tableStyleInfo name="Cópia de Fit dps de R&amp;S-style" showColumnStripes="0" showFirstColumn="1" showLastColumn="1" showRowStripes="1"/>
</table>
</file>

<file path=xl/tables/table5.xml><?xml version="1.0" encoding="utf-8"?>
<table xmlns="http://schemas.openxmlformats.org/spreadsheetml/2006/main" headerRowCount="0" ref="D14:E15" displayName="Table_5" name="Table_5" id="5">
  <tableColumns count="2">
    <tableColumn name="Column1" id="1"/>
    <tableColumn name="Column2" id="2"/>
  </tableColumns>
  <tableStyleInfo name="Cópia de Fit dps de R&amp;S-style 2" showColumnStripes="0" showFirstColumn="1" showLastColumn="1" showRowStripes="1"/>
</table>
</file>

<file path=xl/tables/table6.xml><?xml version="1.0" encoding="utf-8"?>
<table xmlns="http://schemas.openxmlformats.org/spreadsheetml/2006/main" ref="A3:B10" displayName="Table_6" name="Table_6" id="6">
  <tableColumns count="2">
    <tableColumn name="Descrição" id="1"/>
    <tableColumn name="Horas" id="2"/>
  </tableColumns>
  <tableStyleInfo name="Cópia de Cópia de R&amp;S-style" showColumnStripes="0" showFirstColumn="1" showLastColumn="1" showRowStripes="1"/>
</table>
</file>

<file path=xl/tables/table7.xml><?xml version="1.0" encoding="utf-8"?>
<table xmlns="http://schemas.openxmlformats.org/spreadsheetml/2006/main" ref="A3:B8" displayName="Table_7" name="Table_7" id="7">
  <tableColumns count="2">
    <tableColumn name="Descrição" id="1"/>
    <tableColumn name="Horas" id="2"/>
  </tableColumns>
  <tableStyleInfo name="Consultoria-style" showColumnStripes="0" showFirstColumn="1" showLastColumn="1" showRowStripes="1"/>
</table>
</file>

<file path=xl/tables/table8.xml><?xml version="1.0" encoding="utf-8"?>
<table xmlns="http://schemas.openxmlformats.org/spreadsheetml/2006/main" ref="A3:B8" displayName="Table_8" name="Table_8" id="8">
  <tableColumns count="2">
    <tableColumn name="Descrição" id="1"/>
    <tableColumn name="Horas" id="2"/>
  </tableColumns>
  <tableStyleInfo name="Treinamento  desenvolvimento-style" showColumnStripes="0" showFirstColumn="1" showLastColumn="1" showRowStripes="1"/>
</table>
</file>

<file path=xl/tables/table9.xml><?xml version="1.0" encoding="utf-8"?>
<table xmlns="http://schemas.openxmlformats.org/spreadsheetml/2006/main" ref="A3:B8" displayName="Table_9" name="Table_9" id="9">
  <tableColumns count="2">
    <tableColumn name="Descrição" id="1"/>
    <tableColumn name="Horas" id="2"/>
  </tableColumns>
  <tableStyleInfo name="Pesquisa de clima org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2.0</v>
      </c>
      <c r="C4" s="9"/>
      <c r="D4" s="10" t="s">
        <v>5</v>
      </c>
      <c r="E4" s="11"/>
    </row>
    <row r="5">
      <c r="A5" s="12" t="s">
        <v>6</v>
      </c>
      <c r="B5" s="13">
        <v>1.0</v>
      </c>
      <c r="C5" s="9"/>
      <c r="D5" s="14" t="s">
        <v>7</v>
      </c>
      <c r="E5" s="15">
        <v>0.0</v>
      </c>
    </row>
    <row r="6">
      <c r="A6" s="12" t="s">
        <v>8</v>
      </c>
      <c r="B6" s="13">
        <v>0.0</v>
      </c>
      <c r="C6" s="9"/>
      <c r="D6" s="16" t="s">
        <v>9</v>
      </c>
      <c r="E6" s="17">
        <v>0.0</v>
      </c>
    </row>
    <row r="7">
      <c r="A7" s="12" t="s">
        <v>10</v>
      </c>
      <c r="B7" s="13">
        <v>3.0</v>
      </c>
      <c r="C7" s="9"/>
      <c r="D7" s="18" t="s">
        <v>11</v>
      </c>
      <c r="E7" s="19">
        <f>SUM(E5,E6)</f>
        <v>0</v>
      </c>
    </row>
    <row r="8">
      <c r="A8" s="12" t="s">
        <v>12</v>
      </c>
      <c r="B8" s="13">
        <v>6.0</v>
      </c>
      <c r="C8" s="9"/>
      <c r="D8" s="20" t="s">
        <v>13</v>
      </c>
      <c r="E8" s="21">
        <f>SUM(B13,E7)</f>
        <v>2395.8</v>
      </c>
    </row>
    <row r="9">
      <c r="A9" s="22" t="s">
        <v>14</v>
      </c>
      <c r="B9" s="23">
        <v>15.0</v>
      </c>
      <c r="C9" s="24"/>
      <c r="D9" s="25" t="s">
        <v>15</v>
      </c>
      <c r="E9" s="26">
        <f>MINUS(E8,E10)</f>
        <v>1197.9</v>
      </c>
    </row>
    <row r="10">
      <c r="A10" s="27" t="s">
        <v>16</v>
      </c>
      <c r="B10" s="28">
        <f>PRODUCT(B13,50%)</f>
        <v>1197.9</v>
      </c>
      <c r="C10" s="29"/>
      <c r="D10" s="16" t="s">
        <v>16</v>
      </c>
      <c r="E10" s="30">
        <f>PRODUCT(E8,50%)</f>
        <v>1197.9</v>
      </c>
    </row>
    <row r="11">
      <c r="A11" s="27" t="s">
        <v>17</v>
      </c>
      <c r="B11" s="28">
        <f>PRODUCT(B13,40%)</f>
        <v>958.32</v>
      </c>
      <c r="C11" s="29"/>
      <c r="D11" s="18" t="s">
        <v>17</v>
      </c>
      <c r="E11" s="31">
        <f>PRODUCT(E8,40%)</f>
        <v>958.32</v>
      </c>
    </row>
    <row r="12">
      <c r="A12" s="32"/>
      <c r="B12" s="33"/>
      <c r="D12" s="34"/>
      <c r="E12" s="35"/>
    </row>
    <row r="13">
      <c r="A13" s="32" t="s">
        <v>18</v>
      </c>
      <c r="B13" s="36">
        <f>PRODUCT(B9,159.72)</f>
        <v>2395.8</v>
      </c>
      <c r="C13" s="37"/>
      <c r="D13" s="25" t="s">
        <v>19</v>
      </c>
      <c r="E13" s="26">
        <f>PRODUCT(E9,15%)</f>
        <v>179.685</v>
      </c>
    </row>
    <row r="14">
      <c r="A14" s="32" t="s">
        <v>20</v>
      </c>
      <c r="B14" s="38">
        <f>MINUS(B13,B10)</f>
        <v>1197.9</v>
      </c>
      <c r="D14" s="34" t="s">
        <v>21</v>
      </c>
      <c r="E14" s="39">
        <f>MINUS(E9,E13)</f>
        <v>1018.215</v>
      </c>
    </row>
  </sheetData>
  <mergeCells count="3">
    <mergeCell ref="A1:E2"/>
    <mergeCell ref="D3:E3"/>
    <mergeCell ref="D4:E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10.0</v>
      </c>
      <c r="C4" s="9"/>
      <c r="D4" s="10" t="s">
        <v>5</v>
      </c>
      <c r="E4" s="11"/>
    </row>
    <row r="5">
      <c r="A5" s="12" t="s">
        <v>6</v>
      </c>
      <c r="B5" s="13">
        <v>7.0</v>
      </c>
      <c r="C5" s="9"/>
      <c r="D5" s="14" t="s">
        <v>7</v>
      </c>
      <c r="E5" s="15">
        <v>100.0</v>
      </c>
    </row>
    <row r="6">
      <c r="A6" s="12" t="s">
        <v>8</v>
      </c>
      <c r="B6" s="13">
        <v>0.0</v>
      </c>
      <c r="C6" s="9"/>
      <c r="D6" s="16" t="s">
        <v>9</v>
      </c>
      <c r="E6" s="17">
        <v>30.0</v>
      </c>
    </row>
    <row r="7">
      <c r="A7" s="12" t="s">
        <v>10</v>
      </c>
      <c r="B7" s="13">
        <v>10.0</v>
      </c>
      <c r="C7" s="9"/>
      <c r="D7" s="18" t="s">
        <v>11</v>
      </c>
      <c r="E7" s="19">
        <f>SUM(E5,E6)</f>
        <v>130</v>
      </c>
    </row>
    <row r="8">
      <c r="A8" s="12" t="s">
        <v>12</v>
      </c>
      <c r="B8" s="13">
        <v>50.0</v>
      </c>
      <c r="C8" s="9"/>
      <c r="D8" s="20" t="s">
        <v>13</v>
      </c>
      <c r="E8" s="21">
        <f>SUM(B10,E7)</f>
        <v>12428.44</v>
      </c>
    </row>
    <row r="9">
      <c r="A9" s="22" t="s">
        <v>14</v>
      </c>
      <c r="B9" s="40">
        <f>SUM(B4:B8)</f>
        <v>77</v>
      </c>
      <c r="C9" s="24"/>
    </row>
    <row r="10">
      <c r="A10" s="32" t="s">
        <v>18</v>
      </c>
      <c r="B10" s="36">
        <f>PRODUCT(B9,159.72)</f>
        <v>12298.44</v>
      </c>
      <c r="C10" s="37"/>
    </row>
    <row r="11">
      <c r="A11" s="41"/>
      <c r="B11" s="36">
        <f>MINUS(B10,B13)</f>
        <v>6149.22</v>
      </c>
    </row>
    <row r="12">
      <c r="A12" s="27" t="s">
        <v>22</v>
      </c>
      <c r="B12" s="28">
        <f>PRODUCT(B10,40%)</f>
        <v>4919.376</v>
      </c>
      <c r="C12" s="29"/>
      <c r="D12" s="27" t="s">
        <v>22</v>
      </c>
      <c r="E12" s="28">
        <f>PRODUCT(E8,40%)</f>
        <v>4971.376</v>
      </c>
    </row>
    <row r="13">
      <c r="A13" s="27" t="s">
        <v>16</v>
      </c>
      <c r="B13" s="28">
        <f>PRODUCT(B10,50%)</f>
        <v>6149.22</v>
      </c>
      <c r="C13" s="29"/>
      <c r="D13" s="27" t="s">
        <v>16</v>
      </c>
      <c r="E13" s="28">
        <f>PRODUCT(E8,50%)</f>
        <v>6214.22</v>
      </c>
    </row>
    <row r="14">
      <c r="A14" s="29"/>
      <c r="B14" s="42"/>
      <c r="C14" s="29"/>
      <c r="D14" s="43" t="s">
        <v>19</v>
      </c>
      <c r="E14" s="44">
        <f>PRODUCT(E13,15%)</f>
        <v>932.133</v>
      </c>
    </row>
    <row r="15">
      <c r="A15" s="29"/>
      <c r="B15" s="42"/>
      <c r="C15" s="29"/>
      <c r="D15" s="43" t="s">
        <v>21</v>
      </c>
      <c r="E15" s="44">
        <f>MINUS(E13,E14)</f>
        <v>5282.087</v>
      </c>
    </row>
  </sheetData>
  <mergeCells count="3">
    <mergeCell ref="A1:E2"/>
    <mergeCell ref="D3:E3"/>
    <mergeCell ref="D4:E4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10.0</v>
      </c>
      <c r="C4" s="9"/>
      <c r="D4" s="10" t="s">
        <v>5</v>
      </c>
      <c r="E4" s="11"/>
    </row>
    <row r="5">
      <c r="A5" s="12" t="s">
        <v>6</v>
      </c>
      <c r="B5" s="13">
        <v>7.0</v>
      </c>
      <c r="C5" s="9"/>
      <c r="D5" s="14" t="s">
        <v>7</v>
      </c>
      <c r="E5" s="15">
        <v>100.0</v>
      </c>
    </row>
    <row r="6">
      <c r="A6" s="12" t="s">
        <v>8</v>
      </c>
      <c r="B6" s="13">
        <v>0.0</v>
      </c>
      <c r="C6" s="9"/>
      <c r="D6" s="16" t="s">
        <v>9</v>
      </c>
      <c r="E6" s="17">
        <v>30.0</v>
      </c>
    </row>
    <row r="7">
      <c r="A7" s="12" t="s">
        <v>10</v>
      </c>
      <c r="B7" s="13">
        <v>10.0</v>
      </c>
      <c r="C7" s="9"/>
      <c r="D7" s="18" t="s">
        <v>11</v>
      </c>
      <c r="E7" s="19">
        <f>SUM(E5,E6)</f>
        <v>130</v>
      </c>
    </row>
    <row r="8">
      <c r="A8" s="12" t="s">
        <v>12</v>
      </c>
      <c r="B8" s="13">
        <v>62.0</v>
      </c>
      <c r="C8" s="9"/>
      <c r="D8" s="20" t="s">
        <v>13</v>
      </c>
      <c r="E8" s="21">
        <f>SUM(B10,E7)</f>
        <v>14345.08</v>
      </c>
    </row>
    <row r="9">
      <c r="A9" s="22" t="s">
        <v>14</v>
      </c>
      <c r="B9" s="40">
        <f>SUM(B4:B8)</f>
        <v>89</v>
      </c>
      <c r="C9" s="24"/>
    </row>
    <row r="10">
      <c r="A10" s="32" t="s">
        <v>18</v>
      </c>
      <c r="B10" s="36">
        <f>PRODUCT(B9,159.72)</f>
        <v>14215.08</v>
      </c>
      <c r="C10" s="37"/>
    </row>
    <row r="11">
      <c r="A11" s="41"/>
      <c r="B11" s="36">
        <f>MINUS(B10,B13)</f>
        <v>7107.54</v>
      </c>
    </row>
    <row r="12">
      <c r="A12" s="27" t="s">
        <v>22</v>
      </c>
      <c r="B12" s="28">
        <f>PRODUCT(B10,40%)</f>
        <v>5686.032</v>
      </c>
      <c r="C12" s="29"/>
      <c r="D12" s="27" t="s">
        <v>22</v>
      </c>
      <c r="E12" s="28">
        <f>PRODUCT(E8,40%)</f>
        <v>5738.032</v>
      </c>
    </row>
    <row r="13">
      <c r="A13" s="27" t="s">
        <v>16</v>
      </c>
      <c r="B13" s="28">
        <f>PRODUCT(B10,50%)</f>
        <v>7107.54</v>
      </c>
      <c r="C13" s="29"/>
      <c r="D13" s="27" t="s">
        <v>16</v>
      </c>
      <c r="E13" s="28">
        <f>PRODUCT(E8,50%)</f>
        <v>7172.54</v>
      </c>
    </row>
    <row r="14">
      <c r="A14" s="29"/>
      <c r="B14" s="42"/>
      <c r="C14" s="29"/>
      <c r="D14" s="43" t="s">
        <v>19</v>
      </c>
      <c r="E14" s="44">
        <f>PRODUCT(E13,15%)</f>
        <v>1075.881</v>
      </c>
    </row>
    <row r="15">
      <c r="A15" s="29"/>
      <c r="B15" s="42"/>
      <c r="C15" s="29"/>
      <c r="D15" s="43" t="s">
        <v>21</v>
      </c>
      <c r="E15" s="44">
        <f>MINUS(E13,E14)</f>
        <v>6096.659</v>
      </c>
    </row>
  </sheetData>
  <mergeCells count="3">
    <mergeCell ref="A1:E2"/>
    <mergeCell ref="D3:E3"/>
    <mergeCell ref="D4:E4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4.0</v>
      </c>
      <c r="C4" s="9"/>
      <c r="D4" s="10" t="s">
        <v>5</v>
      </c>
      <c r="E4" s="11"/>
    </row>
    <row r="5">
      <c r="A5" s="12" t="s">
        <v>6</v>
      </c>
      <c r="B5" s="13">
        <v>3.0</v>
      </c>
      <c r="C5" s="9"/>
      <c r="D5" s="14" t="s">
        <v>7</v>
      </c>
      <c r="E5" s="15">
        <v>100.0</v>
      </c>
    </row>
    <row r="6">
      <c r="A6" s="12" t="s">
        <v>8</v>
      </c>
      <c r="B6" s="13">
        <v>2.5</v>
      </c>
      <c r="C6" s="9"/>
      <c r="D6" s="16" t="s">
        <v>9</v>
      </c>
      <c r="E6" s="17">
        <v>0.0</v>
      </c>
    </row>
    <row r="7">
      <c r="A7" s="12" t="s">
        <v>10</v>
      </c>
      <c r="B7" s="13">
        <v>5.5</v>
      </c>
      <c r="C7" s="9"/>
      <c r="D7" s="18" t="s">
        <v>11</v>
      </c>
      <c r="E7" s="19">
        <f>SUM(E5,E6)</f>
        <v>100</v>
      </c>
    </row>
    <row r="8">
      <c r="A8" s="12" t="s">
        <v>12</v>
      </c>
      <c r="B8" s="13">
        <v>10.0</v>
      </c>
      <c r="C8" s="9"/>
      <c r="D8" s="20" t="s">
        <v>13</v>
      </c>
      <c r="E8" s="21">
        <f>SUM(B10,E7)</f>
        <v>1783</v>
      </c>
    </row>
    <row r="9">
      <c r="A9" s="22" t="s">
        <v>14</v>
      </c>
      <c r="B9" s="23">
        <v>27.5</v>
      </c>
      <c r="C9" s="24"/>
    </row>
    <row r="10">
      <c r="A10" s="32" t="s">
        <v>18</v>
      </c>
      <c r="B10" s="36">
        <f>PRODUCT(B9,61.2)</f>
        <v>1683</v>
      </c>
      <c r="C10" s="37"/>
    </row>
    <row r="12">
      <c r="A12" s="27" t="s">
        <v>22</v>
      </c>
      <c r="B12" s="28">
        <f>PRODUCT(B10,40%)</f>
        <v>673.2</v>
      </c>
      <c r="C12" s="29"/>
      <c r="D12" s="27" t="s">
        <v>22</v>
      </c>
      <c r="E12" s="28">
        <f>PRODUCT(E8,40%)</f>
        <v>713.2</v>
      </c>
    </row>
    <row r="13">
      <c r="A13" s="27" t="s">
        <v>16</v>
      </c>
      <c r="B13" s="28">
        <f>PRODUCT(B10,50%)</f>
        <v>841.5</v>
      </c>
      <c r="C13" s="29"/>
      <c r="D13" s="27" t="s">
        <v>16</v>
      </c>
      <c r="E13" s="28">
        <f>PRODUCT(E8,50%)</f>
        <v>891.5</v>
      </c>
    </row>
  </sheetData>
  <mergeCells count="3">
    <mergeCell ref="A1:E2"/>
    <mergeCell ref="D3:E3"/>
    <mergeCell ref="D4:E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45" t="s">
        <v>23</v>
      </c>
    </row>
    <row r="2" ht="22.5" customHeight="1"/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1.0</v>
      </c>
      <c r="C4" s="9"/>
      <c r="D4" s="10" t="s">
        <v>5</v>
      </c>
      <c r="E4" s="11"/>
    </row>
    <row r="5">
      <c r="A5" s="12" t="s">
        <v>6</v>
      </c>
      <c r="B5" s="13">
        <v>0.0</v>
      </c>
      <c r="C5" s="9"/>
      <c r="D5" s="14" t="s">
        <v>7</v>
      </c>
      <c r="E5" s="15">
        <v>0.0</v>
      </c>
    </row>
    <row r="6">
      <c r="A6" s="12" t="s">
        <v>24</v>
      </c>
      <c r="B6" s="13">
        <v>1.0</v>
      </c>
      <c r="C6" s="9"/>
      <c r="D6" s="16" t="s">
        <v>9</v>
      </c>
      <c r="E6" s="17">
        <v>0.0</v>
      </c>
    </row>
    <row r="7">
      <c r="A7" s="22" t="s">
        <v>14</v>
      </c>
      <c r="B7" s="23">
        <f>SUM(B4:B6)</f>
        <v>2</v>
      </c>
      <c r="C7" s="9"/>
      <c r="D7" s="18" t="s">
        <v>11</v>
      </c>
      <c r="E7" s="19">
        <f>SUM(E5,E6)</f>
        <v>0</v>
      </c>
    </row>
    <row r="8">
      <c r="A8" s="32" t="s">
        <v>18</v>
      </c>
      <c r="B8" s="46">
        <f>B7*223.48</f>
        <v>446.96</v>
      </c>
      <c r="C8" s="9"/>
      <c r="D8" s="20" t="s">
        <v>13</v>
      </c>
      <c r="E8" s="21">
        <f>SUM(B8,E7)</f>
        <v>446.96</v>
      </c>
    </row>
    <row r="9">
      <c r="C9" s="24"/>
    </row>
    <row r="10">
      <c r="A10" s="27" t="s">
        <v>22</v>
      </c>
      <c r="B10" s="28">
        <f>PRODUCT(B8,40%)</f>
        <v>178.784</v>
      </c>
      <c r="C10" s="29"/>
      <c r="D10" s="27" t="s">
        <v>22</v>
      </c>
      <c r="E10" s="28">
        <f>PRODUCT(E8,40%)</f>
        <v>178.784</v>
      </c>
    </row>
    <row r="11">
      <c r="A11" s="27" t="s">
        <v>16</v>
      </c>
      <c r="B11" s="28">
        <f>PRODUCT(B8,50%)</f>
        <v>223.48</v>
      </c>
      <c r="C11" s="29"/>
      <c r="D11" s="27" t="s">
        <v>16</v>
      </c>
      <c r="E11" s="28">
        <f>PRODUCT(E8,50%)</f>
        <v>223.48</v>
      </c>
    </row>
  </sheetData>
  <mergeCells count="3">
    <mergeCell ref="A1:E2"/>
    <mergeCell ref="D3:E3"/>
    <mergeCell ref="D4:E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45" t="s">
        <v>25</v>
      </c>
    </row>
    <row r="2" ht="22.5" customHeight="1"/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0.0</v>
      </c>
      <c r="C4" s="9"/>
      <c r="D4" s="10" t="s">
        <v>5</v>
      </c>
      <c r="E4" s="11"/>
    </row>
    <row r="5">
      <c r="A5" s="12" t="s">
        <v>6</v>
      </c>
      <c r="B5" s="13">
        <v>1.0</v>
      </c>
      <c r="C5" s="9"/>
      <c r="D5" s="14" t="s">
        <v>7</v>
      </c>
      <c r="E5" s="15"/>
    </row>
    <row r="6">
      <c r="A6" s="12" t="s">
        <v>24</v>
      </c>
      <c r="B6" s="13">
        <v>1.5</v>
      </c>
      <c r="C6" s="9"/>
      <c r="D6" s="16" t="s">
        <v>9</v>
      </c>
      <c r="E6" s="17"/>
    </row>
    <row r="7">
      <c r="A7" s="22" t="s">
        <v>14</v>
      </c>
      <c r="B7" s="47">
        <f>SUM(B4:B6)</f>
        <v>2.5</v>
      </c>
      <c r="C7" s="9"/>
      <c r="D7" s="18" t="s">
        <v>11</v>
      </c>
      <c r="E7" s="19">
        <f>SUM(E5,E6)</f>
        <v>0</v>
      </c>
    </row>
    <row r="8">
      <c r="A8" s="32" t="s">
        <v>18</v>
      </c>
      <c r="B8" s="46">
        <f>B7*169.4</f>
        <v>423.5</v>
      </c>
      <c r="C8" s="9"/>
      <c r="D8" s="20" t="s">
        <v>13</v>
      </c>
      <c r="E8" s="21">
        <f>SUM(B8,E7)</f>
        <v>423.5</v>
      </c>
    </row>
    <row r="9">
      <c r="C9" s="24"/>
    </row>
    <row r="10">
      <c r="A10" s="27" t="s">
        <v>22</v>
      </c>
      <c r="B10" s="28">
        <f>PRODUCT(B8,40%)</f>
        <v>169.4</v>
      </c>
      <c r="C10" s="29"/>
      <c r="D10" s="27" t="s">
        <v>22</v>
      </c>
      <c r="E10" s="28">
        <f>PRODUCT(E8,40%)</f>
        <v>169.4</v>
      </c>
    </row>
    <row r="11">
      <c r="A11" s="27" t="s">
        <v>16</v>
      </c>
      <c r="B11" s="28">
        <f>PRODUCT(B8,50%)</f>
        <v>211.75</v>
      </c>
      <c r="C11" s="29"/>
      <c r="D11" s="27" t="s">
        <v>16</v>
      </c>
      <c r="E11" s="28">
        <f>PRODUCT(E8,50%)</f>
        <v>211.75</v>
      </c>
    </row>
    <row r="12">
      <c r="A12" s="48"/>
      <c r="B12" s="49"/>
      <c r="C12" s="50"/>
      <c r="D12" s="50"/>
      <c r="E12" s="51"/>
    </row>
    <row r="13">
      <c r="A13" s="48" t="s">
        <v>26</v>
      </c>
      <c r="B13" s="52"/>
      <c r="C13" s="52"/>
      <c r="D13" s="52"/>
      <c r="E13" s="53"/>
    </row>
    <row r="14">
      <c r="A14" s="48" t="s">
        <v>27</v>
      </c>
      <c r="B14" s="52"/>
      <c r="C14" s="52"/>
      <c r="D14" s="52"/>
      <c r="E14" s="53"/>
    </row>
    <row r="15">
      <c r="A15" s="54" t="s">
        <v>28</v>
      </c>
      <c r="E15" s="55"/>
    </row>
    <row r="16">
      <c r="A16" s="56" t="s">
        <v>29</v>
      </c>
      <c r="B16" s="57"/>
      <c r="C16" s="57"/>
      <c r="D16" s="57"/>
      <c r="E16" s="58"/>
    </row>
  </sheetData>
  <mergeCells count="7">
    <mergeCell ref="A1:E2"/>
    <mergeCell ref="D3:E3"/>
    <mergeCell ref="D4:E4"/>
    <mergeCell ref="A13:E13"/>
    <mergeCell ref="A14:E14"/>
    <mergeCell ref="A15:E15"/>
    <mergeCell ref="A16:E16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3" max="3" width="3.5"/>
    <col customWidth="1" min="4" max="4" width="18.0"/>
    <col customWidth="1" min="5" max="5" width="19.0"/>
  </cols>
  <sheetData>
    <row r="1">
      <c r="A1" s="1" t="s">
        <v>30</v>
      </c>
    </row>
    <row r="3">
      <c r="A3" s="2" t="s">
        <v>1</v>
      </c>
      <c r="B3" s="3" t="s">
        <v>2</v>
      </c>
      <c r="C3" s="4"/>
      <c r="D3" s="5" t="s">
        <v>3</v>
      </c>
      <c r="E3" s="6"/>
    </row>
    <row r="4">
      <c r="A4" s="7" t="s">
        <v>4</v>
      </c>
      <c r="B4" s="8">
        <v>1.0</v>
      </c>
      <c r="C4" s="9"/>
      <c r="D4" s="10" t="s">
        <v>5</v>
      </c>
      <c r="E4" s="11"/>
    </row>
    <row r="5">
      <c r="A5" s="12" t="s">
        <v>6</v>
      </c>
      <c r="B5" s="13"/>
      <c r="C5" s="9"/>
      <c r="D5" s="14" t="s">
        <v>7</v>
      </c>
      <c r="E5" s="15"/>
    </row>
    <row r="6">
      <c r="A6" s="12" t="s">
        <v>31</v>
      </c>
      <c r="B6" s="13">
        <v>1.5</v>
      </c>
      <c r="C6" s="9"/>
      <c r="D6" s="16" t="s">
        <v>9</v>
      </c>
      <c r="E6" s="17"/>
    </row>
    <row r="7">
      <c r="A7" s="22" t="s">
        <v>14</v>
      </c>
      <c r="B7" s="23">
        <f>SUM(B4:B6)</f>
        <v>2.5</v>
      </c>
      <c r="C7" s="9"/>
      <c r="D7" s="18" t="s">
        <v>11</v>
      </c>
      <c r="E7" s="19">
        <f>SUM(E5,E6)</f>
        <v>0</v>
      </c>
    </row>
    <row r="8">
      <c r="A8" s="32" t="s">
        <v>18</v>
      </c>
      <c r="B8" s="36">
        <f>PRODUCT(B7,114.04)</f>
        <v>285.1</v>
      </c>
      <c r="C8" s="9"/>
      <c r="D8" s="20" t="s">
        <v>13</v>
      </c>
      <c r="E8" s="21">
        <f>SUM(B8,E7)</f>
        <v>285.1</v>
      </c>
    </row>
    <row r="9">
      <c r="C9" s="24"/>
    </row>
    <row r="10">
      <c r="A10" s="27" t="s">
        <v>22</v>
      </c>
      <c r="B10" s="28">
        <f>PRODUCT(B8,40%)</f>
        <v>114.04</v>
      </c>
      <c r="C10" s="29"/>
      <c r="D10" s="27" t="s">
        <v>22</v>
      </c>
      <c r="E10" s="28">
        <f>PRODUCT(E8,40%)</f>
        <v>114.04</v>
      </c>
    </row>
    <row r="11">
      <c r="A11" s="27" t="s">
        <v>16</v>
      </c>
      <c r="B11" s="28">
        <f>PRODUCT(B8,50%)</f>
        <v>142.55</v>
      </c>
      <c r="C11" s="29"/>
      <c r="D11" s="27" t="s">
        <v>16</v>
      </c>
      <c r="E11" s="28">
        <f>PRODUCT(E8,50%)</f>
        <v>142.55</v>
      </c>
    </row>
  </sheetData>
  <mergeCells count="3">
    <mergeCell ref="A1:E2"/>
    <mergeCell ref="D3:E3"/>
    <mergeCell ref="D4:E4"/>
  </mergeCells>
  <drawing r:id="rId1"/>
  <tableParts count="1">
    <tablePart r:id="rId3"/>
  </tableParts>
</worksheet>
</file>