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armácia Jr - pacotes" sheetId="1" state="visible" r:id="rId3"/>
    <sheet name="R&amp;S" sheetId="2" state="visible" r:id="rId4"/>
    <sheet name="Fit dps de R&amp;S" sheetId="3" state="visible" r:id="rId5"/>
    <sheet name="Cópia de Fit dps de R&amp;S" sheetId="4" state="visible" r:id="rId6"/>
    <sheet name="Cópia de Cópia de R&amp;S" sheetId="5" state="visible" r:id="rId7"/>
    <sheet name="Consultoria" sheetId="6" state="visible" r:id="rId8"/>
    <sheet name="Treinamento  desenvolvimento" sheetId="7" state="visible" r:id="rId9"/>
    <sheet name="Pesquisa de clima org.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<sst xmlns="http://schemas.openxmlformats.org/spreadsheetml/2006/main" count="215" uniqueCount="86">
  <si>
    <t xml:space="preserve">Tabela orçamentária | Pacotes Farmácia Jr.</t>
  </si>
  <si>
    <t xml:space="preserve">Mapeamento preliminar dos pacotes 1 a 4 a partir dos blocos de serviço existentes no workbook.</t>
  </si>
  <si>
    <t xml:space="preserve">Blocos de serviço base</t>
  </si>
  <si>
    <t xml:space="preserve">Serviço base</t>
  </si>
  <si>
    <t xml:space="preserve">Preço bruto</t>
  </si>
  <si>
    <t xml:space="preserve">Preço final 40%</t>
  </si>
  <si>
    <t xml:space="preserve">Preço final 50%</t>
  </si>
  <si>
    <t xml:space="preserve">Observação</t>
  </si>
  <si>
    <t xml:space="preserve">Consultoria</t>
  </si>
  <si>
    <t xml:space="preserve">Base para Pacote 1 e principal bloco do Pacote 2</t>
  </si>
  <si>
    <t xml:space="preserve">Treinamento e desenvolvimento</t>
  </si>
  <si>
    <t xml:space="preserve">Melhor bloco complementar para o Pacote 3</t>
  </si>
  <si>
    <t xml:space="preserve">Pesquisa de clima</t>
  </si>
  <si>
    <t xml:space="preserve">Add-on opcional para o Pacote 4</t>
  </si>
  <si>
    <t xml:space="preserve">Escada de pacotes</t>
  </si>
  <si>
    <t xml:space="preserve">Pacote</t>
  </si>
  <si>
    <t xml:space="preserve">Qtd. consultoria</t>
  </si>
  <si>
    <t xml:space="preserve">Qtd. treinamento</t>
  </si>
  <si>
    <t xml:space="preserve">Qtd. pesquisa/clima</t>
  </si>
  <si>
    <t xml:space="preserve">Leitura comercial</t>
  </si>
  <si>
    <t xml:space="preserve">Pacote 1 | Essencial</t>
  </si>
  <si>
    <t xml:space="preserve">Entrada mais leve: diagnóstico + leitura estrutural + priorização executiva.</t>
  </si>
  <si>
    <t xml:space="preserve">Pacote 2 | Estruturação</t>
  </si>
  <si>
    <t xml:space="preserve">Recomendação principal: estrutura cargos, papéis, progressão e base mínima de liderança.</t>
  </si>
  <si>
    <t xml:space="preserve">Pacote 3 | Liderança aplicada</t>
  </si>
  <si>
    <t xml:space="preserve">Expansão recomendada: soma estruturação + um bloco de capacitação prática.</t>
  </si>
  <si>
    <t xml:space="preserve">Pacote 4 | Liderança 360</t>
  </si>
  <si>
    <t xml:space="preserve">Versão mais ampla: soma estruturação, capacitação e um apoio complementar de clima/engajamento.</t>
  </si>
  <si>
    <t xml:space="preserve">Notas de uso</t>
  </si>
  <si>
    <t xml:space="preserve">1. Esta aba transforma o workbook de serviços em uma leitura orientada a pacotes para a Farmácia Jr.</t>
  </si>
  <si>
    <t xml:space="preserve">2. As quantidades em azul são premissas editáveis e devem ser revisadas quando o escopo final do pacote mudar.</t>
  </si>
  <si>
    <t xml:space="preserve">3. Os preços finais já mostram o valor após desconto, evitando a ambiguidade de exibir apenas o valor do desconto.</t>
  </si>
  <si>
    <t xml:space="preserve">4. As fórmulas desta aba usam subtração padrão ou multiplicação com percentual, sem MINUS().</t>
  </si>
  <si>
    <t xml:space="preserve">Projetos isolados</t>
  </si>
  <si>
    <t xml:space="preserve">Projeto</t>
  </si>
  <si>
    <t xml:space="preserve">Diagnóstico de liderança e estrutura</t>
  </si>
  <si>
    <t xml:space="preserve">Base para leitura e priorização inicial.</t>
  </si>
  <si>
    <t xml:space="preserve">Desenho de cargos e papéis de liderança</t>
  </si>
  <si>
    <t xml:space="preserve">Base para definir responsabilidade, autonomia e progressão.</t>
  </si>
  <si>
    <t xml:space="preserve">Jornada mínima de progressão</t>
  </si>
  <si>
    <t xml:space="preserve">Base para critérios de avanço e sucessão.</t>
  </si>
  <si>
    <t xml:space="preserve">Capacitação em liderança</t>
  </si>
  <si>
    <t xml:space="preserve">Bloco formativo complementar.</t>
  </si>
  <si>
    <t xml:space="preserve">Engajamento e sustentação de equipes</t>
  </si>
  <si>
    <t xml:space="preserve">Apoio complementar de clima/engajamento.</t>
  </si>
  <si>
    <t xml:space="preserve">Gestão de tempo para EJ</t>
  </si>
  <si>
    <t xml:space="preserve">Treinamento complementar, fora da recomendação principal.</t>
  </si>
  <si>
    <t xml:space="preserve">Economia dos pacotes versus projetos isolados</t>
  </si>
  <si>
    <t xml:space="preserve">Soma isolados 40%</t>
  </si>
  <si>
    <t xml:space="preserve">Soma isolados 50%</t>
  </si>
  <si>
    <t xml:space="preserve">Preço pacote 40%</t>
  </si>
  <si>
    <t xml:space="preserve">Preço pacote 50%</t>
  </si>
  <si>
    <t xml:space="preserve">Economia 40%</t>
  </si>
  <si>
    <t xml:space="preserve">Economia 50%</t>
  </si>
  <si>
    <t xml:space="preserve">ORÇAMENTO DO SERVIÇO – R&amp;S</t>
  </si>
  <si>
    <t xml:space="preserve">Descrição</t>
  </si>
  <si>
    <t xml:space="preserve">Horas</t>
  </si>
  <si>
    <t xml:space="preserve">Modalidade Presencial</t>
  </si>
  <si>
    <t xml:space="preserve">Reuniões com o cliente</t>
  </si>
  <si>
    <t xml:space="preserve">Taxas de serviço</t>
  </si>
  <si>
    <t xml:space="preserve">Reuniões internas para desenvolvimento</t>
  </si>
  <si>
    <t xml:space="preserve">Deslocamento</t>
  </si>
  <si>
    <t xml:space="preserve">Criação e filtração de vagas</t>
  </si>
  <si>
    <t xml:space="preserve">Material</t>
  </si>
  <si>
    <t xml:space="preserve">Dinâmica em grupo</t>
  </si>
  <si>
    <t xml:space="preserve">Total</t>
  </si>
  <si>
    <t xml:space="preserve">Entrevista individual</t>
  </si>
  <si>
    <t xml:space="preserve">Serviço + taxas</t>
  </si>
  <si>
    <t xml:space="preserve">Total (horas)</t>
  </si>
  <si>
    <t xml:space="preserve">Preço Final</t>
  </si>
  <si>
    <t xml:space="preserve">Desconto 50%</t>
  </si>
  <si>
    <t xml:space="preserve">Desconto 40%</t>
  </si>
  <si>
    <t xml:space="preserve">Valor total</t>
  </si>
  <si>
    <t xml:space="preserve">Desconto 15%</t>
  </si>
  <si>
    <t xml:space="preserve">Valor com Desconto</t>
  </si>
  <si>
    <t xml:space="preserve">Preço com desconto</t>
  </si>
  <si>
    <t xml:space="preserve">Deconto 40%</t>
  </si>
  <si>
    <t xml:space="preserve">ORÇAMENTO DO SERVIÇO – CONSULTORIA</t>
  </si>
  <si>
    <t xml:space="preserve">Aplicação do serviço </t>
  </si>
  <si>
    <t xml:space="preserve">ORÇAMENTO DO SERVIÇO – TREINAMENTO E DESENVOLVIMENTO DE PESSOAS</t>
  </si>
  <si>
    <t xml:space="preserve">- Treinameno em comunicação assertiva  - 1h30</t>
  </si>
  <si>
    <t xml:space="preserve">- Treinameno em regulação emocional - 1h30</t>
  </si>
  <si>
    <t xml:space="preserve">- Treinamento em gestão de tempo - 1h30</t>
  </si>
  <si>
    <t xml:space="preserve">- Treinamento em cultura organizacional</t>
  </si>
  <si>
    <t xml:space="preserve">ORÇAMENTO DO SERVIÇO – PESQUISA </t>
  </si>
  <si>
    <t xml:space="preserve">Aplicação da pesquisa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</si>
</sst>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&quot;R$ &quot;#,##0.00"/>
    <numFmt numFmtId="167" formatCode="[$R$ -416]#,##0.00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6"/>
      <color rgb="FF000000"/>
      <name val="&quot;Times New Roman&quot;"/>
      <family val="0"/>
      <charset val="1"/>
    </font>
    <font>
      <b val="true"/>
      <sz val="12"/>
      <color rgb="FFFFFFFF"/>
      <name val="&quot;Times New Roman&quot;"/>
      <family val="0"/>
      <charset val="1"/>
    </font>
    <font>
      <b val="true"/>
      <sz val="12"/>
      <color rgb="FF000000"/>
      <name val="&quot;Times New Roman&quot;"/>
      <family val="0"/>
      <charset val="1"/>
    </font>
    <font>
      <sz val="12"/>
      <color rgb="FF000000"/>
      <name val="&quot;Times New Roman&quot;"/>
      <family val="0"/>
      <charset val="1"/>
    </font>
    <font>
      <b val="true"/>
      <sz val="12"/>
      <color theme="1"/>
      <name val="Times New Roman"/>
      <family val="0"/>
      <charset val="1"/>
    </font>
    <font>
      <sz val="11"/>
      <color theme="1"/>
      <name val="Arial"/>
      <family val="0"/>
      <charset val="1"/>
    </font>
    <font>
      <sz val="12"/>
      <color theme="1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D9C4"/>
        <bgColor rgb="FFC0C0C0"/>
      </patternFill>
    </fill>
    <fill>
      <patternFill patternType="solid">
        <fgColor rgb="FFFFF200"/>
        <bgColor rgb="FFFFFF00"/>
      </patternFill>
    </fill>
    <fill>
      <patternFill patternType="solid">
        <fgColor rgb="FF691582"/>
        <bgColor rgb="FF800080"/>
      </patternFill>
    </fill>
    <fill>
      <patternFill patternType="solid">
        <fgColor rgb="FFF9F7FF"/>
        <bgColor rgb="FFF6FFFF"/>
      </patternFill>
    </fill>
    <fill>
      <patternFill patternType="solid">
        <fgColor rgb="FFF6FFFF"/>
        <bgColor rgb="FFFF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/>
      <right style="thin"/>
      <top style="thin"/>
      <bottom style="thin">
        <color rgb="FF8EAADB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rgb="FF691582"/>
      </right>
      <top style="thin">
        <color rgb="FF8EAADB"/>
      </top>
      <bottom style="thin">
        <color rgb="FF691582"/>
      </bottom>
      <diagonal/>
    </border>
    <border diagonalUp="false" diagonalDown="false">
      <left style="thin">
        <color rgb="FF691582"/>
      </left>
      <right style="thin"/>
      <top style="thin"/>
      <bottom style="thin">
        <color rgb="FF691582"/>
      </bottom>
      <diagonal/>
    </border>
    <border diagonalUp="false" diagonalDown="false">
      <left style="thin"/>
      <right style="thin">
        <color rgb="FF691582"/>
      </right>
      <top style="thin">
        <color rgb="FF691582"/>
      </top>
      <bottom style="thin">
        <color rgb="FF691582"/>
      </bottom>
      <diagonal/>
    </border>
    <border diagonalUp="false" diagonalDown="false">
      <left style="thin">
        <color rgb="FF691582"/>
      </left>
      <right style="thin"/>
      <top style="thin">
        <color rgb="FF691582"/>
      </top>
      <bottom style="thin">
        <color rgb="FF691582"/>
      </bottom>
      <diagonal/>
    </border>
    <border diagonalUp="false" diagonalDown="false">
      <left style="thin"/>
      <right style="thin">
        <color rgb="FF691582"/>
      </right>
      <top style="thin">
        <color rgb="FF691582"/>
      </top>
      <bottom style="thin"/>
      <diagonal/>
    </border>
    <border diagonalUp="false" diagonalDown="false">
      <left style="thin">
        <color rgb="FF691582"/>
      </left>
      <right style="thin"/>
      <top style="thin">
        <color rgb="FF691582"/>
      </top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1" fillId="5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1" fillId="6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1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ADB"/>
      <rgbColor rgb="FF993366"/>
      <rgbColor rgb="FFF6FFFF"/>
      <rgbColor rgb="FFF9F7FF"/>
      <rgbColor rgb="FF691582"/>
      <rgbColor rgb="FFFF8080"/>
      <rgbColor rgb="FF0066CC"/>
      <rgbColor rgb="FFDDD9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3:B14" headerRowCount="1" totalsRowCount="0" totalsRowShown="0">
  <tableColumns count="2">
    <tableColumn id="1" name="Descrição"/>
    <tableColumn id="2" name="Horas"/>
  </tableColumns>
</table>
</file>

<file path=xl/tables/table2.xml><?xml version="1.0" encoding="utf-8"?>
<table xmlns="http://schemas.openxmlformats.org/spreadsheetml/2006/main" id="2" name="Table_2" displayName="Table_2" ref="A3:B11" headerRowCount="1" totalsRowCount="0" totalsRowShown="0">
  <tableColumns count="2">
    <tableColumn id="1" name="Descrição"/>
    <tableColumn id="2" name="Horas"/>
  </tableColumns>
</table>
</file>

<file path=xl/tables/table3.xml><?xml version="1.0" encoding="utf-8"?>
<table xmlns="http://schemas.openxmlformats.org/spreadsheetml/2006/main" id="3" name="Table_3" displayName="Table_3" ref="D14:E15" headerRowCount="0" totalsRowCount="0" totalsRowShown="0">
  <tableColumns count="2">
    <tableColumn id="1" name="Column1"/>
    <tableColumn id="2" name="Column2"/>
  </tableColumns>
</table>
</file>

<file path=xl/tables/table4.xml><?xml version="1.0" encoding="utf-8"?>
<table xmlns="http://schemas.openxmlformats.org/spreadsheetml/2006/main" id="4" name="Table_4" displayName="Table_4" ref="A3:B11" headerRowCount="1" totalsRowCount="0" totalsRowShown="0">
  <tableColumns count="2">
    <tableColumn id="1" name="Descrição"/>
    <tableColumn id="2" name="Horas"/>
  </tableColumns>
</table>
</file>

<file path=xl/tables/table5.xml><?xml version="1.0" encoding="utf-8"?>
<table xmlns="http://schemas.openxmlformats.org/spreadsheetml/2006/main" id="5" name="Table_5" displayName="Table_5" ref="D14:E15" headerRowCount="0" totalsRowCount="0" totalsRowShown="0">
  <tableColumns count="2">
    <tableColumn id="1" name="Column1"/>
    <tableColumn id="2" name="Column2"/>
  </tableColumns>
</table>
</file>

<file path=xl/tables/table6.xml><?xml version="1.0" encoding="utf-8"?>
<table xmlns="http://schemas.openxmlformats.org/spreadsheetml/2006/main" id="6" name="Table_6" displayName="Table_6" ref="A3:B10" headerRowCount="1" totalsRowCount="0" totalsRowShown="0">
  <tableColumns count="2">
    <tableColumn id="1" name="Descrição"/>
    <tableColumn id="2" name="Horas"/>
  </tableColumns>
</table>
</file>

<file path=xl/tables/table7.xml><?xml version="1.0" encoding="utf-8"?>
<table xmlns="http://schemas.openxmlformats.org/spreadsheetml/2006/main" id="7" name="Table_7" displayName="Table_7" ref="A3:B8" headerRowCount="1" totalsRowCount="0" totalsRowShown="0">
  <tableColumns count="2">
    <tableColumn id="1" name="Descrição"/>
    <tableColumn id="2" name="Horas"/>
  </tableColumns>
</table>
</file>

<file path=xl/tables/table8.xml><?xml version="1.0" encoding="utf-8"?>
<table xmlns="http://schemas.openxmlformats.org/spreadsheetml/2006/main" id="8" name="Table_8" displayName="Table_8" ref="A3:B8" headerRowCount="1" totalsRowCount="0" totalsRowShown="0">
  <tableColumns count="2">
    <tableColumn id="1" name="Descrição"/>
    <tableColumn id="2" name="Horas"/>
  </tableColumns>
</table>
</file>

<file path=xl/tables/table9.xml><?xml version="1.0" encoding="utf-8"?>
<table xmlns="http://schemas.openxmlformats.org/spreadsheetml/2006/main" id="9" name="Table_9" displayName="Table_9" ref="A3:B8" headerRowCount="1" totalsRowCount="0" totalsRowShown="0">
  <tableColumns count="2">
    <tableColumn id="1" name="Descrição"/>
    <tableColumn id="2" name="Hora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7" min="5" style="1" width="16"/>
    <col collapsed="false" customWidth="true" hidden="false" outlineLevel="0" max="8" min="8" style="1" width="62"/>
  </cols>
  <sheetData>
    <row r="1" customFormat="false" ht="32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</row>
    <row r="2" customFormat="false" ht="34.5" hidden="false" customHeight="true" outlineLevel="0" collapsed="false">
      <c r="A2" s="4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5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  <c r="G5" s="3"/>
      <c r="H5" s="3"/>
    </row>
    <row r="6" customFormat="false" ht="34.5" hidden="false" customHeight="true" outlineLevel="0" collapsed="false">
      <c r="A6" s="7" t="s">
        <v>8</v>
      </c>
      <c r="B6" s="8" t="n">
        <f aca="false">Consultoria!B8</f>
        <v>446.96</v>
      </c>
      <c r="C6" s="8" t="n">
        <f aca="false">B6*(1-40%)</f>
        <v>268.176</v>
      </c>
      <c r="D6" s="8" t="n">
        <f aca="false">B6*(1-50%)</f>
        <v>223.48</v>
      </c>
      <c r="E6" s="7" t="s">
        <v>9</v>
      </c>
      <c r="F6" s="3"/>
      <c r="G6" s="3"/>
      <c r="H6" s="3"/>
    </row>
    <row r="7" customFormat="false" ht="34.5" hidden="false" customHeight="true" outlineLevel="0" collapsed="false">
      <c r="A7" s="7" t="s">
        <v>10</v>
      </c>
      <c r="B7" s="8" t="n">
        <f aca="false">'Treinamento  desenvolvimento'!B8</f>
        <v>423.5</v>
      </c>
      <c r="C7" s="8" t="n">
        <f aca="false">B7*(1-40%)</f>
        <v>254.1</v>
      </c>
      <c r="D7" s="8" t="n">
        <f aca="false">B7*(1-50%)</f>
        <v>211.75</v>
      </c>
      <c r="E7" s="7" t="s">
        <v>11</v>
      </c>
      <c r="F7" s="3"/>
      <c r="G7" s="3"/>
      <c r="H7" s="3"/>
    </row>
    <row r="8" customFormat="false" ht="23.25" hidden="false" customHeight="true" outlineLevel="0" collapsed="false">
      <c r="A8" s="7" t="s">
        <v>12</v>
      </c>
      <c r="B8" s="8" t="n">
        <f aca="false">'Pesquisa de clima org.'!B8</f>
        <v>285.1</v>
      </c>
      <c r="C8" s="8" t="n">
        <f aca="false">B8*(1-40%)</f>
        <v>171.06</v>
      </c>
      <c r="D8" s="8" t="n">
        <f aca="false">B8*(1-50%)</f>
        <v>142.55</v>
      </c>
      <c r="E8" s="7" t="s">
        <v>13</v>
      </c>
      <c r="F8" s="3"/>
      <c r="G8" s="3"/>
      <c r="H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A11" s="5" t="s">
        <v>14</v>
      </c>
      <c r="B11" s="3"/>
      <c r="C11" s="3"/>
      <c r="D11" s="3"/>
      <c r="E11" s="3"/>
      <c r="F11" s="3"/>
      <c r="G11" s="3"/>
      <c r="H11" s="3"/>
    </row>
    <row r="12" customFormat="false" ht="15" hidden="false" customHeight="true" outlineLevel="0" collapsed="false">
      <c r="A12" s="6" t="s">
        <v>15</v>
      </c>
      <c r="B12" s="6" t="s">
        <v>16</v>
      </c>
      <c r="C12" s="6" t="s">
        <v>17</v>
      </c>
      <c r="D12" s="6" t="s">
        <v>18</v>
      </c>
      <c r="E12" s="6" t="s">
        <v>4</v>
      </c>
      <c r="F12" s="6" t="s">
        <v>5</v>
      </c>
      <c r="G12" s="6" t="s">
        <v>6</v>
      </c>
      <c r="H12" s="6" t="s">
        <v>19</v>
      </c>
    </row>
    <row r="13" customFormat="false" ht="15" hidden="false" customHeight="true" outlineLevel="0" collapsed="false">
      <c r="A13" s="7" t="s">
        <v>20</v>
      </c>
      <c r="B13" s="9" t="n">
        <v>1</v>
      </c>
      <c r="C13" s="9" t="n">
        <v>0</v>
      </c>
      <c r="D13" s="9" t="n">
        <v>0</v>
      </c>
      <c r="E13" s="8" t="n">
        <f aca="false">B13*$B$6 + C13*$B$7 + D13*$B$8</f>
        <v>446.96</v>
      </c>
      <c r="F13" s="8" t="n">
        <f aca="false">E13*(1-40%)</f>
        <v>268.176</v>
      </c>
      <c r="G13" s="8" t="n">
        <f aca="false">E13*(1-50%)</f>
        <v>223.48</v>
      </c>
      <c r="H13" s="7" t="s">
        <v>21</v>
      </c>
    </row>
    <row r="14" customFormat="false" ht="23.25" hidden="false" customHeight="true" outlineLevel="0" collapsed="false">
      <c r="A14" s="7" t="s">
        <v>22</v>
      </c>
      <c r="B14" s="9" t="n">
        <v>2</v>
      </c>
      <c r="C14" s="9" t="n">
        <v>0</v>
      </c>
      <c r="D14" s="9" t="n">
        <v>0</v>
      </c>
      <c r="E14" s="8" t="n">
        <f aca="false">B14*$B$6 + C14*$B$7 + D14*$B$8</f>
        <v>893.92</v>
      </c>
      <c r="F14" s="8" t="n">
        <f aca="false">E14*(1-40%)</f>
        <v>536.352</v>
      </c>
      <c r="G14" s="8" t="n">
        <f aca="false">E14*(1-50%)</f>
        <v>446.96</v>
      </c>
      <c r="H14" s="7" t="s">
        <v>23</v>
      </c>
    </row>
    <row r="15" customFormat="false" ht="23.25" hidden="false" customHeight="true" outlineLevel="0" collapsed="false">
      <c r="A15" s="7" t="s">
        <v>24</v>
      </c>
      <c r="B15" s="9" t="n">
        <v>2</v>
      </c>
      <c r="C15" s="9" t="n">
        <v>1</v>
      </c>
      <c r="D15" s="9" t="n">
        <v>0</v>
      </c>
      <c r="E15" s="8" t="n">
        <f aca="false">B15*$B$6 + C15*$B$7 + D15*$B$8</f>
        <v>1317.42</v>
      </c>
      <c r="F15" s="8" t="n">
        <f aca="false">E15*(1-40%)</f>
        <v>790.452</v>
      </c>
      <c r="G15" s="8" t="n">
        <f aca="false">E15*(1-50%)</f>
        <v>658.71</v>
      </c>
      <c r="H15" s="7" t="s">
        <v>25</v>
      </c>
    </row>
    <row r="16" customFormat="false" ht="23.25" hidden="false" customHeight="true" outlineLevel="0" collapsed="false">
      <c r="A16" s="7" t="s">
        <v>26</v>
      </c>
      <c r="B16" s="9" t="n">
        <v>2</v>
      </c>
      <c r="C16" s="9" t="n">
        <v>1</v>
      </c>
      <c r="D16" s="9" t="n">
        <v>1</v>
      </c>
      <c r="E16" s="8" t="n">
        <f aca="false">B16*$B$6 + C16*$B$7 + D16*$B$8</f>
        <v>1602.52</v>
      </c>
      <c r="F16" s="8" t="n">
        <f aca="false">E16*(1-40%)</f>
        <v>961.512</v>
      </c>
      <c r="G16" s="8" t="n">
        <f aca="false">E16*(1-50%)</f>
        <v>801.26</v>
      </c>
      <c r="H16" s="7" t="s">
        <v>27</v>
      </c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5" t="s">
        <v>28</v>
      </c>
      <c r="B19" s="3"/>
      <c r="C19" s="3"/>
      <c r="D19" s="3"/>
      <c r="E19" s="3"/>
      <c r="F19" s="3"/>
      <c r="G19" s="3"/>
      <c r="H19" s="3"/>
    </row>
    <row r="20" customFormat="false" ht="34.5" hidden="false" customHeight="true" outlineLevel="0" collapsed="false">
      <c r="A20" s="3" t="s">
        <v>29</v>
      </c>
      <c r="B20" s="3"/>
      <c r="C20" s="3"/>
      <c r="D20" s="3"/>
      <c r="E20" s="3"/>
      <c r="F20" s="3"/>
      <c r="G20" s="3"/>
      <c r="H20" s="3"/>
    </row>
    <row r="21" customFormat="false" ht="34.5" hidden="false" customHeight="true" outlineLevel="0" collapsed="false">
      <c r="A21" s="3" t="s">
        <v>30</v>
      </c>
      <c r="B21" s="3"/>
      <c r="C21" s="3"/>
      <c r="D21" s="3"/>
      <c r="E21" s="3"/>
      <c r="F21" s="3"/>
      <c r="G21" s="3"/>
      <c r="H21" s="3"/>
    </row>
    <row r="22" customFormat="false" ht="34.5" hidden="false" customHeight="true" outlineLevel="0" collapsed="false">
      <c r="A22" s="3" t="s">
        <v>31</v>
      </c>
      <c r="B22" s="3"/>
      <c r="C22" s="3"/>
      <c r="D22" s="3"/>
      <c r="E22" s="3"/>
      <c r="F22" s="3"/>
      <c r="G22" s="3"/>
      <c r="H22" s="3"/>
    </row>
    <row r="23" customFormat="false" ht="34.5" hidden="false" customHeight="true" outlineLevel="0" collapsed="false">
      <c r="A23" s="3" t="s">
        <v>32</v>
      </c>
      <c r="B23" s="3"/>
      <c r="C23" s="3"/>
      <c r="D23" s="3"/>
      <c r="E23" s="3"/>
      <c r="F23" s="3"/>
      <c r="G23" s="3"/>
      <c r="H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5" hidden="false" customHeight="true" outlineLevel="0" collapsed="false">
      <c r="A25" s="5" t="s">
        <v>33</v>
      </c>
      <c r="B25" s="3"/>
      <c r="C25" s="3"/>
      <c r="D25" s="3"/>
      <c r="E25" s="3"/>
      <c r="F25" s="3"/>
      <c r="G25" s="3"/>
      <c r="H25" s="3"/>
    </row>
    <row r="26" customFormat="false" ht="15" hidden="false" customHeight="true" outlineLevel="0" collapsed="false">
      <c r="A26" s="6" t="s">
        <v>34</v>
      </c>
      <c r="B26" s="6" t="s">
        <v>16</v>
      </c>
      <c r="C26" s="6" t="s">
        <v>17</v>
      </c>
      <c r="D26" s="6" t="s">
        <v>18</v>
      </c>
      <c r="E26" s="6" t="s">
        <v>4</v>
      </c>
      <c r="F26" s="6" t="s">
        <v>5</v>
      </c>
      <c r="G26" s="6" t="s">
        <v>6</v>
      </c>
      <c r="H26" s="6" t="s">
        <v>7</v>
      </c>
    </row>
    <row r="27" customFormat="false" ht="15" hidden="false" customHeight="true" outlineLevel="0" collapsed="false">
      <c r="A27" s="7" t="s">
        <v>35</v>
      </c>
      <c r="B27" s="9" t="n">
        <v>1</v>
      </c>
      <c r="C27" s="9" t="n">
        <v>0</v>
      </c>
      <c r="D27" s="9" t="n">
        <v>0</v>
      </c>
      <c r="E27" s="10" t="n">
        <f aca="false">B27*$B$6 + C27*$B$7 + D27*$B$8</f>
        <v>446.96</v>
      </c>
      <c r="F27" s="10" t="n">
        <f aca="false">E27*(1-40%)</f>
        <v>268.176</v>
      </c>
      <c r="G27" s="10" t="n">
        <f aca="false">E27*(1-50%)</f>
        <v>223.48</v>
      </c>
      <c r="H27" s="7" t="s">
        <v>36</v>
      </c>
    </row>
    <row r="28" customFormat="false" ht="15" hidden="false" customHeight="true" outlineLevel="0" collapsed="false">
      <c r="A28" s="7" t="s">
        <v>37</v>
      </c>
      <c r="B28" s="9" t="n">
        <v>1</v>
      </c>
      <c r="C28" s="9" t="n">
        <v>0</v>
      </c>
      <c r="D28" s="9" t="n">
        <v>0</v>
      </c>
      <c r="E28" s="10" t="n">
        <f aca="false">B28*$B$6 + C28*$B$7 + D28*$B$8</f>
        <v>446.96</v>
      </c>
      <c r="F28" s="10" t="n">
        <f aca="false">E28*(1-40%)</f>
        <v>268.176</v>
      </c>
      <c r="G28" s="10" t="n">
        <f aca="false">E28*(1-50%)</f>
        <v>223.48</v>
      </c>
      <c r="H28" s="7" t="s">
        <v>38</v>
      </c>
    </row>
    <row r="29" customFormat="false" ht="15" hidden="false" customHeight="true" outlineLevel="0" collapsed="false">
      <c r="A29" s="7" t="s">
        <v>39</v>
      </c>
      <c r="B29" s="9" t="n">
        <v>1</v>
      </c>
      <c r="C29" s="9" t="n">
        <v>0</v>
      </c>
      <c r="D29" s="9" t="n">
        <v>0</v>
      </c>
      <c r="E29" s="10" t="n">
        <f aca="false">B29*$B$6 + C29*$B$7 + D29*$B$8</f>
        <v>446.96</v>
      </c>
      <c r="F29" s="10" t="n">
        <f aca="false">E29*(1-40%)</f>
        <v>268.176</v>
      </c>
      <c r="G29" s="10" t="n">
        <f aca="false">E29*(1-50%)</f>
        <v>223.48</v>
      </c>
      <c r="H29" s="7" t="s">
        <v>40</v>
      </c>
    </row>
    <row r="30" customFormat="false" ht="15" hidden="false" customHeight="true" outlineLevel="0" collapsed="false">
      <c r="A30" s="7" t="s">
        <v>41</v>
      </c>
      <c r="B30" s="9" t="n">
        <v>0</v>
      </c>
      <c r="C30" s="9" t="n">
        <v>1</v>
      </c>
      <c r="D30" s="9" t="n">
        <v>0</v>
      </c>
      <c r="E30" s="10" t="n">
        <f aca="false">B30*$B$6 + C30*$B$7 + D30*$B$8</f>
        <v>423.5</v>
      </c>
      <c r="F30" s="10" t="n">
        <f aca="false">E30*(1-40%)</f>
        <v>254.1</v>
      </c>
      <c r="G30" s="10" t="n">
        <f aca="false">E30*(1-50%)</f>
        <v>211.75</v>
      </c>
      <c r="H30" s="7" t="s">
        <v>42</v>
      </c>
    </row>
    <row r="31" customFormat="false" ht="15" hidden="false" customHeight="true" outlineLevel="0" collapsed="false">
      <c r="A31" s="7" t="s">
        <v>43</v>
      </c>
      <c r="B31" s="9" t="n">
        <v>0</v>
      </c>
      <c r="C31" s="9" t="n">
        <v>0</v>
      </c>
      <c r="D31" s="9" t="n">
        <v>1</v>
      </c>
      <c r="E31" s="10" t="n">
        <f aca="false">B31*$B$6 + C31*$B$7 + D31*$B$8</f>
        <v>285.1</v>
      </c>
      <c r="F31" s="10" t="n">
        <f aca="false">E31*(1-40%)</f>
        <v>171.06</v>
      </c>
      <c r="G31" s="10" t="n">
        <f aca="false">E31*(1-50%)</f>
        <v>142.55</v>
      </c>
      <c r="H31" s="7" t="s">
        <v>44</v>
      </c>
    </row>
    <row r="32" customFormat="false" ht="15" hidden="false" customHeight="true" outlineLevel="0" collapsed="false">
      <c r="A32" s="7" t="s">
        <v>45</v>
      </c>
      <c r="B32" s="9" t="n">
        <v>0</v>
      </c>
      <c r="C32" s="9" t="n">
        <v>1</v>
      </c>
      <c r="D32" s="9" t="n">
        <v>0</v>
      </c>
      <c r="E32" s="10" t="n">
        <f aca="false">B32*$B$6 + C32*$B$7 + D32*$B$8</f>
        <v>423.5</v>
      </c>
      <c r="F32" s="10" t="n">
        <f aca="false">E32*(1-40%)</f>
        <v>254.1</v>
      </c>
      <c r="G32" s="10" t="n">
        <f aca="false">E32*(1-50%)</f>
        <v>211.75</v>
      </c>
      <c r="H32" s="7" t="s">
        <v>46</v>
      </c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5" hidden="false" customHeight="true" outlineLevel="0" collapsed="false">
      <c r="A35" s="5" t="s">
        <v>47</v>
      </c>
      <c r="B35" s="3"/>
      <c r="C35" s="3"/>
      <c r="D35" s="3"/>
      <c r="E35" s="3"/>
      <c r="F35" s="3"/>
      <c r="G35" s="3"/>
      <c r="H35" s="3"/>
    </row>
    <row r="36" customFormat="false" ht="15" hidden="false" customHeight="true" outlineLevel="0" collapsed="false">
      <c r="A36" s="6" t="s">
        <v>15</v>
      </c>
      <c r="B36" s="6" t="s">
        <v>48</v>
      </c>
      <c r="C36" s="6" t="s">
        <v>49</v>
      </c>
      <c r="D36" s="6" t="s">
        <v>50</v>
      </c>
      <c r="E36" s="6" t="s">
        <v>51</v>
      </c>
      <c r="F36" s="6" t="s">
        <v>52</v>
      </c>
      <c r="G36" s="6" t="s">
        <v>53</v>
      </c>
      <c r="H36" s="3"/>
    </row>
    <row r="37" customFormat="false" ht="15" hidden="false" customHeight="true" outlineLevel="0" collapsed="false">
      <c r="A37" s="7" t="s">
        <v>20</v>
      </c>
      <c r="B37" s="10" t="n">
        <f aca="false">F27</f>
        <v>268.176</v>
      </c>
      <c r="C37" s="10" t="n">
        <f aca="false">G27</f>
        <v>223.48</v>
      </c>
      <c r="D37" s="10" t="n">
        <f aca="false">F13</f>
        <v>268.176</v>
      </c>
      <c r="E37" s="10" t="n">
        <f aca="false">G13</f>
        <v>223.48</v>
      </c>
      <c r="F37" s="10" t="n">
        <f aca="false">B37-D37</f>
        <v>0</v>
      </c>
      <c r="G37" s="10" t="n">
        <f aca="false">C37-E37</f>
        <v>0</v>
      </c>
      <c r="H37" s="3"/>
    </row>
    <row r="38" customFormat="false" ht="15" hidden="false" customHeight="true" outlineLevel="0" collapsed="false">
      <c r="A38" s="7" t="s">
        <v>22</v>
      </c>
      <c r="B38" s="10" t="n">
        <f aca="false">SUM(F27:F29)</f>
        <v>804.528</v>
      </c>
      <c r="C38" s="10" t="n">
        <f aca="false">SUM(G27:G29)</f>
        <v>670.44</v>
      </c>
      <c r="D38" s="10" t="n">
        <f aca="false">F14</f>
        <v>536.352</v>
      </c>
      <c r="E38" s="10" t="n">
        <f aca="false">G14</f>
        <v>446.96</v>
      </c>
      <c r="F38" s="10" t="n">
        <f aca="false">B38-D38</f>
        <v>268.176</v>
      </c>
      <c r="G38" s="10" t="n">
        <f aca="false">C38-E38</f>
        <v>223.48</v>
      </c>
      <c r="H38" s="3"/>
    </row>
    <row r="39" customFormat="false" ht="15" hidden="false" customHeight="true" outlineLevel="0" collapsed="false">
      <c r="A39" s="7" t="s">
        <v>24</v>
      </c>
      <c r="B39" s="10" t="n">
        <f aca="false">SUM(F27:F30)</f>
        <v>1058.628</v>
      </c>
      <c r="C39" s="10" t="n">
        <f aca="false">SUM(G27:G30)</f>
        <v>882.19</v>
      </c>
      <c r="D39" s="10" t="n">
        <f aca="false">F15</f>
        <v>790.452</v>
      </c>
      <c r="E39" s="10" t="n">
        <f aca="false">G15</f>
        <v>658.71</v>
      </c>
      <c r="F39" s="10" t="n">
        <f aca="false">B39-D39</f>
        <v>268.176</v>
      </c>
      <c r="G39" s="10" t="n">
        <f aca="false">C39-E39</f>
        <v>223.48</v>
      </c>
      <c r="H39" s="3"/>
    </row>
    <row r="40" customFormat="false" ht="15" hidden="false" customHeight="false" outlineLevel="0" collapsed="false">
      <c r="A40" s="11" t="s">
        <v>26</v>
      </c>
      <c r="B40" s="12" t="n">
        <f aca="false">SUM(F27:F31)</f>
        <v>1229.688</v>
      </c>
      <c r="C40" s="12" t="n">
        <f aca="false">SUM(G27:G31)</f>
        <v>1024.74</v>
      </c>
      <c r="D40" s="12" t="n">
        <f aca="false">F16</f>
        <v>961.512</v>
      </c>
      <c r="E40" s="12" t="n">
        <f aca="false">G16</f>
        <v>801.26</v>
      </c>
      <c r="F40" s="12" t="n">
        <f aca="false">B40-D40</f>
        <v>268.176</v>
      </c>
      <c r="G40" s="12" t="n">
        <f aca="false">C40-E40</f>
        <v>223.48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75"/>
    <col collapsed="false" customWidth="true" hidden="false" outlineLevel="0" max="3" min="3" style="1" width="3.5"/>
    <col collapsed="false" customWidth="true" hidden="false" outlineLevel="0" max="4" min="4" style="1" width="18"/>
    <col collapsed="false" customWidth="true" hidden="false" outlineLevel="0" max="5" min="5" style="1" width="19"/>
  </cols>
  <sheetData>
    <row r="1" customFormat="false" ht="15.75" hidden="false" customHeight="true" outlineLevel="0" collapsed="false">
      <c r="A1" s="13" t="s">
        <v>54</v>
      </c>
      <c r="B1" s="13"/>
      <c r="C1" s="13"/>
      <c r="D1" s="13"/>
      <c r="E1" s="13"/>
    </row>
    <row r="2" customFormat="false" ht="15.75" hidden="false" customHeight="true" outlineLevel="0" collapsed="false">
      <c r="A2" s="13"/>
      <c r="B2" s="13"/>
      <c r="C2" s="13"/>
      <c r="D2" s="13"/>
      <c r="E2" s="13"/>
    </row>
    <row r="3" customFormat="false" ht="15.75" hidden="false" customHeight="true" outlineLevel="0" collapsed="false">
      <c r="A3" s="14" t="s">
        <v>55</v>
      </c>
      <c r="B3" s="15" t="s">
        <v>56</v>
      </c>
      <c r="C3" s="16"/>
      <c r="D3" s="17" t="s">
        <v>57</v>
      </c>
      <c r="E3" s="17"/>
    </row>
    <row r="4" customFormat="false" ht="15.75" hidden="false" customHeight="true" outlineLevel="0" collapsed="false">
      <c r="A4" s="18" t="s">
        <v>58</v>
      </c>
      <c r="B4" s="19" t="n">
        <v>2</v>
      </c>
      <c r="C4" s="20"/>
      <c r="D4" s="21" t="s">
        <v>59</v>
      </c>
      <c r="E4" s="21"/>
    </row>
    <row r="5" customFormat="false" ht="26.25" hidden="false" customHeight="true" outlineLevel="0" collapsed="false">
      <c r="A5" s="22" t="s">
        <v>60</v>
      </c>
      <c r="B5" s="23" t="n">
        <v>1</v>
      </c>
      <c r="C5" s="20"/>
      <c r="D5" s="24" t="s">
        <v>61</v>
      </c>
      <c r="E5" s="25" t="n">
        <v>0</v>
      </c>
    </row>
    <row r="6" customFormat="false" ht="15.75" hidden="false" customHeight="true" outlineLevel="0" collapsed="false">
      <c r="A6" s="22" t="s">
        <v>62</v>
      </c>
      <c r="B6" s="23" t="n">
        <v>0</v>
      </c>
      <c r="C6" s="20"/>
      <c r="D6" s="26" t="s">
        <v>63</v>
      </c>
      <c r="E6" s="27" t="n">
        <v>0</v>
      </c>
    </row>
    <row r="7" customFormat="false" ht="15.75" hidden="false" customHeight="true" outlineLevel="0" collapsed="false">
      <c r="A7" s="22" t="s">
        <v>64</v>
      </c>
      <c r="B7" s="23" t="n">
        <v>3</v>
      </c>
      <c r="C7" s="20"/>
      <c r="D7" s="28" t="s">
        <v>65</v>
      </c>
      <c r="E7" s="29" t="n">
        <f aca="false">SUM(E5,E6)</f>
        <v>0</v>
      </c>
    </row>
    <row r="8" customFormat="false" ht="15.75" hidden="false" customHeight="true" outlineLevel="0" collapsed="false">
      <c r="A8" s="22" t="s">
        <v>66</v>
      </c>
      <c r="B8" s="23" t="n">
        <v>6</v>
      </c>
      <c r="C8" s="20"/>
      <c r="D8" s="30" t="s">
        <v>67</v>
      </c>
      <c r="E8" s="31" t="n">
        <f aca="false">SUM(B13,E7)</f>
        <v>2395.8</v>
      </c>
    </row>
    <row r="9" customFormat="false" ht="15.75" hidden="false" customHeight="true" outlineLevel="0" collapsed="false">
      <c r="A9" s="32" t="s">
        <v>68</v>
      </c>
      <c r="B9" s="33" t="n">
        <v>15</v>
      </c>
      <c r="C9" s="34"/>
      <c r="D9" s="35" t="s">
        <v>69</v>
      </c>
      <c r="E9" s="36" t="e">
        <f aca="false">minus(E8,E10)</f>
        <v>#NAME?</v>
      </c>
    </row>
    <row r="10" customFormat="false" ht="15.75" hidden="false" customHeight="true" outlineLevel="0" collapsed="false">
      <c r="A10" s="37" t="s">
        <v>70</v>
      </c>
      <c r="B10" s="38" t="n">
        <f aca="false">PRODUCT(B13,50%)</f>
        <v>1197.9</v>
      </c>
      <c r="C10" s="39"/>
      <c r="D10" s="26" t="s">
        <v>70</v>
      </c>
      <c r="E10" s="40" t="n">
        <f aca="false">PRODUCT(E8,50%)</f>
        <v>1197.9</v>
      </c>
    </row>
    <row r="11" customFormat="false" ht="15.75" hidden="false" customHeight="true" outlineLevel="0" collapsed="false">
      <c r="A11" s="37" t="s">
        <v>71</v>
      </c>
      <c r="B11" s="38" t="n">
        <f aca="false">PRODUCT(B13,40%)</f>
        <v>958.32</v>
      </c>
      <c r="C11" s="39"/>
      <c r="D11" s="28" t="s">
        <v>71</v>
      </c>
      <c r="E11" s="25" t="n">
        <f aca="false">PRODUCT(E8,40%)</f>
        <v>958.32</v>
      </c>
    </row>
    <row r="12" customFormat="false" ht="15.75" hidden="false" customHeight="true" outlineLevel="0" collapsed="false">
      <c r="A12" s="41"/>
      <c r="B12" s="42"/>
      <c r="D12" s="43"/>
      <c r="E12" s="44"/>
    </row>
    <row r="13" customFormat="false" ht="15.75" hidden="false" customHeight="true" outlineLevel="0" collapsed="false">
      <c r="A13" s="41" t="s">
        <v>72</v>
      </c>
      <c r="B13" s="45" t="n">
        <f aca="false">PRODUCT(B9,159.72)</f>
        <v>2395.8</v>
      </c>
      <c r="C13" s="46"/>
      <c r="D13" s="35" t="s">
        <v>73</v>
      </c>
      <c r="E13" s="36" t="e">
        <f aca="false">PRODUCT(E9,15%)</f>
        <v>#NAME?</v>
      </c>
    </row>
    <row r="14" customFormat="false" ht="26.25" hidden="false" customHeight="true" outlineLevel="0" collapsed="false">
      <c r="A14" s="41" t="s">
        <v>74</v>
      </c>
      <c r="B14" s="45" t="e">
        <f aca="false">minus(B13,B10)</f>
        <v>#NAME?</v>
      </c>
      <c r="D14" s="43" t="s">
        <v>75</v>
      </c>
      <c r="E14" s="47" t="e">
        <f aca="false">minus(E9,E13)</f>
        <v>#NAME?</v>
      </c>
    </row>
  </sheetData>
  <mergeCells count="3">
    <mergeCell ref="A1:E2"/>
    <mergeCell ref="D3:E3"/>
    <mergeCell ref="D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75"/>
    <col collapsed="false" customWidth="true" hidden="false" outlineLevel="0" max="3" min="3" style="1" width="3.5"/>
    <col collapsed="false" customWidth="true" hidden="false" outlineLevel="0" max="4" min="4" style="1" width="18"/>
    <col collapsed="false" customWidth="true" hidden="false" outlineLevel="0" max="5" min="5" style="1" width="19"/>
  </cols>
  <sheetData>
    <row r="1" customFormat="false" ht="15.75" hidden="false" customHeight="true" outlineLevel="0" collapsed="false">
      <c r="A1" s="13" t="s">
        <v>54</v>
      </c>
      <c r="B1" s="13"/>
      <c r="C1" s="13"/>
      <c r="D1" s="13"/>
      <c r="E1" s="13"/>
    </row>
    <row r="2" customFormat="false" ht="15.75" hidden="false" customHeight="true" outlineLevel="0" collapsed="false">
      <c r="A2" s="13"/>
      <c r="B2" s="13"/>
      <c r="C2" s="13"/>
      <c r="D2" s="13"/>
      <c r="E2" s="13"/>
    </row>
    <row r="3" customFormat="false" ht="15.75" hidden="false" customHeight="true" outlineLevel="0" collapsed="false">
      <c r="A3" s="14" t="s">
        <v>55</v>
      </c>
      <c r="B3" s="15" t="s">
        <v>56</v>
      </c>
      <c r="C3" s="16"/>
      <c r="D3" s="17" t="s">
        <v>57</v>
      </c>
      <c r="E3" s="17"/>
    </row>
    <row r="4" customFormat="false" ht="15.75" hidden="false" customHeight="true" outlineLevel="0" collapsed="false">
      <c r="A4" s="18" t="s">
        <v>58</v>
      </c>
      <c r="B4" s="19" t="n">
        <v>10</v>
      </c>
      <c r="C4" s="20"/>
      <c r="D4" s="21" t="s">
        <v>59</v>
      </c>
      <c r="E4" s="21"/>
    </row>
    <row r="5" customFormat="false" ht="26.25" hidden="false" customHeight="true" outlineLevel="0" collapsed="false">
      <c r="A5" s="22" t="s">
        <v>60</v>
      </c>
      <c r="B5" s="23" t="n">
        <v>7</v>
      </c>
      <c r="C5" s="20"/>
      <c r="D5" s="24" t="s">
        <v>61</v>
      </c>
      <c r="E5" s="25" t="n">
        <v>100</v>
      </c>
    </row>
    <row r="6" customFormat="false" ht="15.75" hidden="false" customHeight="true" outlineLevel="0" collapsed="false">
      <c r="A6" s="22" t="s">
        <v>62</v>
      </c>
      <c r="B6" s="23" t="n">
        <v>0</v>
      </c>
      <c r="C6" s="20"/>
      <c r="D6" s="26" t="s">
        <v>63</v>
      </c>
      <c r="E6" s="27" t="n">
        <v>30</v>
      </c>
    </row>
    <row r="7" customFormat="false" ht="15.75" hidden="false" customHeight="true" outlineLevel="0" collapsed="false">
      <c r="A7" s="22" t="s">
        <v>64</v>
      </c>
      <c r="B7" s="23" t="n">
        <v>10</v>
      </c>
      <c r="C7" s="20"/>
      <c r="D7" s="28" t="s">
        <v>65</v>
      </c>
      <c r="E7" s="29" t="n">
        <f aca="false">SUM(E5,E6)</f>
        <v>130</v>
      </c>
    </row>
    <row r="8" customFormat="false" ht="15.75" hidden="false" customHeight="true" outlineLevel="0" collapsed="false">
      <c r="A8" s="22" t="s">
        <v>66</v>
      </c>
      <c r="B8" s="23" t="n">
        <v>50</v>
      </c>
      <c r="C8" s="20"/>
      <c r="D8" s="30" t="s">
        <v>67</v>
      </c>
      <c r="E8" s="31" t="n">
        <f aca="false">SUM(B10,E7)</f>
        <v>12428.44</v>
      </c>
    </row>
    <row r="9" customFormat="false" ht="15.75" hidden="false" customHeight="true" outlineLevel="0" collapsed="false">
      <c r="A9" s="32" t="s">
        <v>68</v>
      </c>
      <c r="B9" s="33" t="n">
        <f aca="false">SUM(B4:B8)</f>
        <v>77</v>
      </c>
      <c r="C9" s="34"/>
    </row>
    <row r="10" customFormat="false" ht="15.75" hidden="false" customHeight="true" outlineLevel="0" collapsed="false">
      <c r="A10" s="41" t="s">
        <v>72</v>
      </c>
      <c r="B10" s="45" t="n">
        <f aca="false">PRODUCT(B9,159.72)</f>
        <v>12298.44</v>
      </c>
      <c r="C10" s="46"/>
    </row>
    <row r="11" customFormat="false" ht="15.75" hidden="false" customHeight="true" outlineLevel="0" collapsed="false">
      <c r="A11" s="41"/>
      <c r="B11" s="45" t="e">
        <f aca="false">minus(B10,B13)</f>
        <v>#NAME?</v>
      </c>
    </row>
    <row r="12" customFormat="false" ht="15.75" hidden="false" customHeight="true" outlineLevel="0" collapsed="false">
      <c r="A12" s="37" t="s">
        <v>76</v>
      </c>
      <c r="B12" s="38" t="n">
        <f aca="false">PRODUCT(B10,40%)</f>
        <v>4919.376</v>
      </c>
      <c r="C12" s="39"/>
      <c r="D12" s="37" t="s">
        <v>76</v>
      </c>
      <c r="E12" s="38" t="n">
        <f aca="false">PRODUCT(E8,40%)</f>
        <v>4971.376</v>
      </c>
    </row>
    <row r="13" customFormat="false" ht="15.75" hidden="false" customHeight="true" outlineLevel="0" collapsed="false">
      <c r="A13" s="37" t="s">
        <v>70</v>
      </c>
      <c r="B13" s="38" t="n">
        <f aca="false">PRODUCT(B10,50%)</f>
        <v>6149.22</v>
      </c>
      <c r="C13" s="39"/>
      <c r="D13" s="37" t="s">
        <v>70</v>
      </c>
      <c r="E13" s="38" t="n">
        <f aca="false">PRODUCT(E8,50%)</f>
        <v>6214.22</v>
      </c>
    </row>
    <row r="14" customFormat="false" ht="15.75" hidden="false" customHeight="true" outlineLevel="0" collapsed="false">
      <c r="A14" s="39"/>
      <c r="B14" s="48"/>
      <c r="C14" s="39"/>
      <c r="D14" s="20" t="s">
        <v>73</v>
      </c>
      <c r="E14" s="49" t="n">
        <f aca="false">PRODUCT(E13,15%)</f>
        <v>932.133</v>
      </c>
    </row>
    <row r="15" customFormat="false" ht="26.25" hidden="false" customHeight="true" outlineLevel="0" collapsed="false">
      <c r="A15" s="39"/>
      <c r="B15" s="48"/>
      <c r="C15" s="39"/>
      <c r="D15" s="20" t="s">
        <v>75</v>
      </c>
      <c r="E15" s="49" t="e">
        <f aca="false">minus(E13,E14)</f>
        <v>#NAME?</v>
      </c>
    </row>
  </sheetData>
  <mergeCells count="3">
    <mergeCell ref="A1:E2"/>
    <mergeCell ref="D3:E3"/>
    <mergeCell ref="D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75"/>
    <col collapsed="false" customWidth="true" hidden="false" outlineLevel="0" max="3" min="3" style="1" width="3.5"/>
    <col collapsed="false" customWidth="true" hidden="false" outlineLevel="0" max="4" min="4" style="1" width="18"/>
    <col collapsed="false" customWidth="true" hidden="false" outlineLevel="0" max="5" min="5" style="1" width="19"/>
  </cols>
  <sheetData>
    <row r="1" customFormat="false" ht="15.75" hidden="false" customHeight="true" outlineLevel="0" collapsed="false">
      <c r="A1" s="13" t="s">
        <v>54</v>
      </c>
      <c r="B1" s="13"/>
      <c r="C1" s="13"/>
      <c r="D1" s="13"/>
      <c r="E1" s="13"/>
    </row>
    <row r="2" customFormat="false" ht="15.75" hidden="false" customHeight="true" outlineLevel="0" collapsed="false">
      <c r="A2" s="13"/>
      <c r="B2" s="13"/>
      <c r="C2" s="13"/>
      <c r="D2" s="13"/>
      <c r="E2" s="13"/>
    </row>
    <row r="3" customFormat="false" ht="15.75" hidden="false" customHeight="true" outlineLevel="0" collapsed="false">
      <c r="A3" s="14" t="s">
        <v>55</v>
      </c>
      <c r="B3" s="15" t="s">
        <v>56</v>
      </c>
      <c r="C3" s="16"/>
      <c r="D3" s="17" t="s">
        <v>57</v>
      </c>
      <c r="E3" s="17"/>
    </row>
    <row r="4" customFormat="false" ht="15.75" hidden="false" customHeight="true" outlineLevel="0" collapsed="false">
      <c r="A4" s="18" t="s">
        <v>58</v>
      </c>
      <c r="B4" s="19" t="n">
        <v>10</v>
      </c>
      <c r="C4" s="20"/>
      <c r="D4" s="21" t="s">
        <v>59</v>
      </c>
      <c r="E4" s="21"/>
    </row>
    <row r="5" customFormat="false" ht="26.25" hidden="false" customHeight="true" outlineLevel="0" collapsed="false">
      <c r="A5" s="22" t="s">
        <v>60</v>
      </c>
      <c r="B5" s="23" t="n">
        <v>7</v>
      </c>
      <c r="C5" s="20"/>
      <c r="D5" s="24" t="s">
        <v>61</v>
      </c>
      <c r="E5" s="25" t="n">
        <v>100</v>
      </c>
    </row>
    <row r="6" customFormat="false" ht="15.75" hidden="false" customHeight="true" outlineLevel="0" collapsed="false">
      <c r="A6" s="22" t="s">
        <v>62</v>
      </c>
      <c r="B6" s="23" t="n">
        <v>0</v>
      </c>
      <c r="C6" s="20"/>
      <c r="D6" s="26" t="s">
        <v>63</v>
      </c>
      <c r="E6" s="27" t="n">
        <v>30</v>
      </c>
    </row>
    <row r="7" customFormat="false" ht="15.75" hidden="false" customHeight="true" outlineLevel="0" collapsed="false">
      <c r="A7" s="22" t="s">
        <v>64</v>
      </c>
      <c r="B7" s="23" t="n">
        <v>10</v>
      </c>
      <c r="C7" s="20"/>
      <c r="D7" s="28" t="s">
        <v>65</v>
      </c>
      <c r="E7" s="29" t="n">
        <f aca="false">SUM(E5,E6)</f>
        <v>130</v>
      </c>
    </row>
    <row r="8" customFormat="false" ht="15.75" hidden="false" customHeight="true" outlineLevel="0" collapsed="false">
      <c r="A8" s="22" t="s">
        <v>66</v>
      </c>
      <c r="B8" s="23" t="n">
        <v>62</v>
      </c>
      <c r="C8" s="20"/>
      <c r="D8" s="30" t="s">
        <v>67</v>
      </c>
      <c r="E8" s="31" t="n">
        <f aca="false">SUM(B10,E7)</f>
        <v>14345.08</v>
      </c>
    </row>
    <row r="9" customFormat="false" ht="15.75" hidden="false" customHeight="true" outlineLevel="0" collapsed="false">
      <c r="A9" s="32" t="s">
        <v>68</v>
      </c>
      <c r="B9" s="33" t="n">
        <f aca="false">SUM(B4:B8)</f>
        <v>89</v>
      </c>
      <c r="C9" s="34"/>
    </row>
    <row r="10" customFormat="false" ht="15.75" hidden="false" customHeight="true" outlineLevel="0" collapsed="false">
      <c r="A10" s="41" t="s">
        <v>72</v>
      </c>
      <c r="B10" s="45" t="n">
        <f aca="false">PRODUCT(B9,159.72)</f>
        <v>14215.08</v>
      </c>
      <c r="C10" s="46"/>
    </row>
    <row r="11" customFormat="false" ht="15.75" hidden="false" customHeight="true" outlineLevel="0" collapsed="false">
      <c r="A11" s="41"/>
      <c r="B11" s="45" t="e">
        <f aca="false">minus(B10,B13)</f>
        <v>#NAME?</v>
      </c>
    </row>
    <row r="12" customFormat="false" ht="15.75" hidden="false" customHeight="true" outlineLevel="0" collapsed="false">
      <c r="A12" s="37" t="s">
        <v>76</v>
      </c>
      <c r="B12" s="38" t="n">
        <f aca="false">PRODUCT(B10,40%)</f>
        <v>5686.032</v>
      </c>
      <c r="C12" s="39"/>
      <c r="D12" s="37" t="s">
        <v>76</v>
      </c>
      <c r="E12" s="38" t="n">
        <f aca="false">PRODUCT(E8,40%)</f>
        <v>5738.032</v>
      </c>
    </row>
    <row r="13" customFormat="false" ht="15.75" hidden="false" customHeight="true" outlineLevel="0" collapsed="false">
      <c r="A13" s="37" t="s">
        <v>70</v>
      </c>
      <c r="B13" s="38" t="n">
        <f aca="false">PRODUCT(B10,50%)</f>
        <v>7107.54</v>
      </c>
      <c r="C13" s="39"/>
      <c r="D13" s="37" t="s">
        <v>70</v>
      </c>
      <c r="E13" s="38" t="n">
        <f aca="false">PRODUCT(E8,50%)</f>
        <v>7172.54</v>
      </c>
    </row>
    <row r="14" customFormat="false" ht="15.75" hidden="false" customHeight="true" outlineLevel="0" collapsed="false">
      <c r="A14" s="39"/>
      <c r="B14" s="48"/>
      <c r="C14" s="39"/>
      <c r="D14" s="20" t="s">
        <v>73</v>
      </c>
      <c r="E14" s="49" t="n">
        <f aca="false">PRODUCT(E13,15%)</f>
        <v>1075.881</v>
      </c>
    </row>
    <row r="15" customFormat="false" ht="26.25" hidden="false" customHeight="true" outlineLevel="0" collapsed="false">
      <c r="A15" s="39"/>
      <c r="B15" s="48"/>
      <c r="C15" s="39"/>
      <c r="D15" s="20" t="s">
        <v>75</v>
      </c>
      <c r="E15" s="49" t="e">
        <f aca="false">minus(E13,E14)</f>
        <v>#NAME?</v>
      </c>
    </row>
  </sheetData>
  <mergeCells count="3">
    <mergeCell ref="A1:E2"/>
    <mergeCell ref="D3:E3"/>
    <mergeCell ref="D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75"/>
    <col collapsed="false" customWidth="true" hidden="false" outlineLevel="0" max="3" min="3" style="1" width="3.5"/>
    <col collapsed="false" customWidth="true" hidden="false" outlineLevel="0" max="4" min="4" style="1" width="18"/>
    <col collapsed="false" customWidth="true" hidden="false" outlineLevel="0" max="5" min="5" style="1" width="19"/>
  </cols>
  <sheetData>
    <row r="1" customFormat="false" ht="15.75" hidden="false" customHeight="true" outlineLevel="0" collapsed="false">
      <c r="A1" s="13" t="s">
        <v>54</v>
      </c>
      <c r="B1" s="13"/>
      <c r="C1" s="13"/>
      <c r="D1" s="13"/>
      <c r="E1" s="13"/>
    </row>
    <row r="2" customFormat="false" ht="15.75" hidden="false" customHeight="true" outlineLevel="0" collapsed="false">
      <c r="A2" s="13"/>
      <c r="B2" s="13"/>
      <c r="C2" s="13"/>
      <c r="D2" s="13"/>
      <c r="E2" s="13"/>
    </row>
    <row r="3" customFormat="false" ht="15.75" hidden="false" customHeight="true" outlineLevel="0" collapsed="false">
      <c r="A3" s="14" t="s">
        <v>55</v>
      </c>
      <c r="B3" s="15" t="s">
        <v>56</v>
      </c>
      <c r="C3" s="16"/>
      <c r="D3" s="17" t="s">
        <v>57</v>
      </c>
      <c r="E3" s="17"/>
    </row>
    <row r="4" customFormat="false" ht="15.75" hidden="false" customHeight="true" outlineLevel="0" collapsed="false">
      <c r="A4" s="18" t="s">
        <v>58</v>
      </c>
      <c r="B4" s="19" t="n">
        <v>4</v>
      </c>
      <c r="C4" s="20"/>
      <c r="D4" s="21" t="s">
        <v>59</v>
      </c>
      <c r="E4" s="21"/>
    </row>
    <row r="5" customFormat="false" ht="26.25" hidden="false" customHeight="true" outlineLevel="0" collapsed="false">
      <c r="A5" s="22" t="s">
        <v>60</v>
      </c>
      <c r="B5" s="23" t="n">
        <v>3</v>
      </c>
      <c r="C5" s="20"/>
      <c r="D5" s="24" t="s">
        <v>61</v>
      </c>
      <c r="E5" s="25" t="n">
        <v>100</v>
      </c>
    </row>
    <row r="6" customFormat="false" ht="15.75" hidden="false" customHeight="true" outlineLevel="0" collapsed="false">
      <c r="A6" s="22" t="s">
        <v>62</v>
      </c>
      <c r="B6" s="23" t="n">
        <v>2.5</v>
      </c>
      <c r="C6" s="20"/>
      <c r="D6" s="26" t="s">
        <v>63</v>
      </c>
      <c r="E6" s="27" t="n">
        <v>0</v>
      </c>
    </row>
    <row r="7" customFormat="false" ht="15.75" hidden="false" customHeight="true" outlineLevel="0" collapsed="false">
      <c r="A7" s="22" t="s">
        <v>64</v>
      </c>
      <c r="B7" s="23" t="n">
        <v>5.5</v>
      </c>
      <c r="C7" s="20"/>
      <c r="D7" s="28" t="s">
        <v>65</v>
      </c>
      <c r="E7" s="29" t="n">
        <f aca="false">SUM(E5,E6)</f>
        <v>100</v>
      </c>
    </row>
    <row r="8" customFormat="false" ht="15.75" hidden="false" customHeight="true" outlineLevel="0" collapsed="false">
      <c r="A8" s="22" t="s">
        <v>66</v>
      </c>
      <c r="B8" s="23" t="n">
        <v>10</v>
      </c>
      <c r="C8" s="20"/>
      <c r="D8" s="30" t="s">
        <v>67</v>
      </c>
      <c r="E8" s="31" t="n">
        <f aca="false">SUM(B10,E7)</f>
        <v>1783</v>
      </c>
    </row>
    <row r="9" customFormat="false" ht="15.75" hidden="false" customHeight="true" outlineLevel="0" collapsed="false">
      <c r="A9" s="32" t="s">
        <v>68</v>
      </c>
      <c r="B9" s="33" t="n">
        <v>27.5</v>
      </c>
      <c r="C9" s="34"/>
    </row>
    <row r="10" customFormat="false" ht="15.75" hidden="false" customHeight="true" outlineLevel="0" collapsed="false">
      <c r="A10" s="41" t="s">
        <v>72</v>
      </c>
      <c r="B10" s="45" t="n">
        <f aca="false">PRODUCT(B9,61.2)</f>
        <v>1683</v>
      </c>
      <c r="C10" s="46"/>
    </row>
    <row r="12" customFormat="false" ht="15.75" hidden="false" customHeight="true" outlineLevel="0" collapsed="false">
      <c r="A12" s="37" t="s">
        <v>76</v>
      </c>
      <c r="B12" s="38" t="n">
        <f aca="false">PRODUCT(B10,40%)</f>
        <v>673.2</v>
      </c>
      <c r="C12" s="39"/>
      <c r="D12" s="37" t="s">
        <v>76</v>
      </c>
      <c r="E12" s="38" t="n">
        <f aca="false">PRODUCT(E8,40%)</f>
        <v>713.2</v>
      </c>
    </row>
    <row r="13" customFormat="false" ht="15.75" hidden="false" customHeight="true" outlineLevel="0" collapsed="false">
      <c r="A13" s="37" t="s">
        <v>70</v>
      </c>
      <c r="B13" s="38" t="n">
        <f aca="false">PRODUCT(B10,50%)</f>
        <v>841.5</v>
      </c>
      <c r="C13" s="39"/>
      <c r="D13" s="37" t="s">
        <v>70</v>
      </c>
      <c r="E13" s="38" t="n">
        <f aca="false">PRODUCT(E8,50%)</f>
        <v>891.5</v>
      </c>
    </row>
  </sheetData>
  <mergeCells count="3">
    <mergeCell ref="A1:E2"/>
    <mergeCell ref="D3:E3"/>
    <mergeCell ref="D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75"/>
    <col collapsed="false" customWidth="true" hidden="false" outlineLevel="0" max="3" min="3" style="1" width="3.5"/>
    <col collapsed="false" customWidth="true" hidden="false" outlineLevel="0" max="4" min="4" style="1" width="18"/>
    <col collapsed="false" customWidth="true" hidden="false" outlineLevel="0" max="5" min="5" style="1" width="19"/>
  </cols>
  <sheetData>
    <row r="1" customFormat="false" ht="15.75" hidden="false" customHeight="true" outlineLevel="0" collapsed="false">
      <c r="A1" s="50" t="s">
        <v>77</v>
      </c>
      <c r="B1" s="50"/>
      <c r="C1" s="50"/>
      <c r="D1" s="50"/>
      <c r="E1" s="50"/>
    </row>
    <row r="2" customFormat="false" ht="22.5" hidden="false" customHeight="true" outlineLevel="0" collapsed="false">
      <c r="A2" s="50"/>
      <c r="B2" s="50"/>
      <c r="C2" s="50"/>
      <c r="D2" s="50"/>
      <c r="E2" s="50"/>
    </row>
    <row r="3" customFormat="false" ht="15.75" hidden="false" customHeight="true" outlineLevel="0" collapsed="false">
      <c r="A3" s="14" t="s">
        <v>55</v>
      </c>
      <c r="B3" s="15" t="s">
        <v>56</v>
      </c>
      <c r="C3" s="16"/>
      <c r="D3" s="17" t="s">
        <v>57</v>
      </c>
      <c r="E3" s="17"/>
    </row>
    <row r="4" customFormat="false" ht="15.75" hidden="false" customHeight="true" outlineLevel="0" collapsed="false">
      <c r="A4" s="18" t="s">
        <v>58</v>
      </c>
      <c r="B4" s="19" t="n">
        <v>1</v>
      </c>
      <c r="C4" s="20"/>
      <c r="D4" s="21" t="s">
        <v>59</v>
      </c>
      <c r="E4" s="21"/>
    </row>
    <row r="5" customFormat="false" ht="26.25" hidden="false" customHeight="true" outlineLevel="0" collapsed="false">
      <c r="A5" s="22" t="s">
        <v>60</v>
      </c>
      <c r="B5" s="23" t="n">
        <v>0</v>
      </c>
      <c r="C5" s="20"/>
      <c r="D5" s="24" t="s">
        <v>61</v>
      </c>
      <c r="E5" s="25" t="n">
        <v>0</v>
      </c>
    </row>
    <row r="6" customFormat="false" ht="15.75" hidden="false" customHeight="true" outlineLevel="0" collapsed="false">
      <c r="A6" s="22" t="s">
        <v>78</v>
      </c>
      <c r="B6" s="23" t="n">
        <v>1</v>
      </c>
      <c r="C6" s="20"/>
      <c r="D6" s="26" t="s">
        <v>63</v>
      </c>
      <c r="E6" s="27" t="n">
        <v>0</v>
      </c>
    </row>
    <row r="7" customFormat="false" ht="15.75" hidden="false" customHeight="true" outlineLevel="0" collapsed="false">
      <c r="A7" s="32" t="s">
        <v>68</v>
      </c>
      <c r="B7" s="33" t="n">
        <f aca="false">SUM(B4:B6)</f>
        <v>2</v>
      </c>
      <c r="C7" s="20"/>
      <c r="D7" s="28" t="s">
        <v>65</v>
      </c>
      <c r="E7" s="29" t="n">
        <f aca="false">SUM(E5,E6)</f>
        <v>0</v>
      </c>
    </row>
    <row r="8" customFormat="false" ht="15.75" hidden="false" customHeight="true" outlineLevel="0" collapsed="false">
      <c r="A8" s="41" t="s">
        <v>72</v>
      </c>
      <c r="B8" s="45" t="n">
        <f aca="false">B7*223.48</f>
        <v>446.96</v>
      </c>
      <c r="C8" s="20"/>
      <c r="D8" s="30" t="s">
        <v>67</v>
      </c>
      <c r="E8" s="31" t="n">
        <f aca="false">SUM(B8,E7)</f>
        <v>446.96</v>
      </c>
    </row>
    <row r="9" customFormat="false" ht="15.75" hidden="false" customHeight="true" outlineLevel="0" collapsed="false">
      <c r="C9" s="34"/>
    </row>
    <row r="10" customFormat="false" ht="15.75" hidden="false" customHeight="true" outlineLevel="0" collapsed="false">
      <c r="A10" s="37" t="s">
        <v>76</v>
      </c>
      <c r="B10" s="38" t="n">
        <f aca="false">PRODUCT(B8,40%)</f>
        <v>178.784</v>
      </c>
      <c r="C10" s="39"/>
      <c r="D10" s="37" t="s">
        <v>76</v>
      </c>
      <c r="E10" s="38" t="n">
        <f aca="false">PRODUCT(E8,40%)</f>
        <v>178.784</v>
      </c>
    </row>
    <row r="11" customFormat="false" ht="15.75" hidden="false" customHeight="true" outlineLevel="0" collapsed="false">
      <c r="A11" s="37" t="s">
        <v>70</v>
      </c>
      <c r="B11" s="38" t="n">
        <f aca="false">PRODUCT(B8,50%)</f>
        <v>223.48</v>
      </c>
      <c r="C11" s="39"/>
      <c r="D11" s="37" t="s">
        <v>70</v>
      </c>
      <c r="E11" s="38" t="n">
        <f aca="false">PRODUCT(E8,50%)</f>
        <v>223.48</v>
      </c>
    </row>
  </sheetData>
  <mergeCells count="3">
    <mergeCell ref="A1:E2"/>
    <mergeCell ref="D3:E3"/>
    <mergeCell ref="D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75"/>
    <col collapsed="false" customWidth="true" hidden="false" outlineLevel="0" max="3" min="3" style="1" width="3.5"/>
    <col collapsed="false" customWidth="true" hidden="false" outlineLevel="0" max="4" min="4" style="1" width="18"/>
    <col collapsed="false" customWidth="true" hidden="false" outlineLevel="0" max="5" min="5" style="1" width="19"/>
  </cols>
  <sheetData>
    <row r="1" customFormat="false" ht="15.75" hidden="false" customHeight="true" outlineLevel="0" collapsed="false">
      <c r="A1" s="50" t="s">
        <v>79</v>
      </c>
      <c r="B1" s="50"/>
      <c r="C1" s="50"/>
      <c r="D1" s="50"/>
      <c r="E1" s="50"/>
    </row>
    <row r="2" customFormat="false" ht="22.5" hidden="false" customHeight="true" outlineLevel="0" collapsed="false">
      <c r="A2" s="50"/>
      <c r="B2" s="50"/>
      <c r="C2" s="50"/>
      <c r="D2" s="50"/>
      <c r="E2" s="50"/>
    </row>
    <row r="3" customFormat="false" ht="15.75" hidden="false" customHeight="true" outlineLevel="0" collapsed="false">
      <c r="A3" s="14" t="s">
        <v>55</v>
      </c>
      <c r="B3" s="15" t="s">
        <v>56</v>
      </c>
      <c r="C3" s="16"/>
      <c r="D3" s="17" t="s">
        <v>57</v>
      </c>
      <c r="E3" s="17"/>
    </row>
    <row r="4" customFormat="false" ht="15.75" hidden="false" customHeight="true" outlineLevel="0" collapsed="false">
      <c r="A4" s="18" t="s">
        <v>58</v>
      </c>
      <c r="B4" s="19" t="n">
        <v>0</v>
      </c>
      <c r="C4" s="20"/>
      <c r="D4" s="21" t="s">
        <v>59</v>
      </c>
      <c r="E4" s="21"/>
    </row>
    <row r="5" customFormat="false" ht="26.25" hidden="false" customHeight="true" outlineLevel="0" collapsed="false">
      <c r="A5" s="22" t="s">
        <v>60</v>
      </c>
      <c r="B5" s="23" t="n">
        <v>1</v>
      </c>
      <c r="C5" s="20"/>
      <c r="D5" s="24" t="s">
        <v>61</v>
      </c>
      <c r="E5" s="25"/>
    </row>
    <row r="6" customFormat="false" ht="15.75" hidden="false" customHeight="true" outlineLevel="0" collapsed="false">
      <c r="A6" s="22" t="s">
        <v>78</v>
      </c>
      <c r="B6" s="23" t="n">
        <v>1.5</v>
      </c>
      <c r="C6" s="20"/>
      <c r="D6" s="26" t="s">
        <v>63</v>
      </c>
      <c r="E6" s="27"/>
    </row>
    <row r="7" customFormat="false" ht="15.75" hidden="false" customHeight="true" outlineLevel="0" collapsed="false">
      <c r="A7" s="32" t="s">
        <v>68</v>
      </c>
      <c r="B7" s="33" t="n">
        <f aca="false">SUM(B4:B6)</f>
        <v>2.5</v>
      </c>
      <c r="C7" s="20"/>
      <c r="D7" s="28" t="s">
        <v>65</v>
      </c>
      <c r="E7" s="29" t="n">
        <f aca="false">SUM(E5,E6)</f>
        <v>0</v>
      </c>
    </row>
    <row r="8" customFormat="false" ht="15.75" hidden="false" customHeight="true" outlineLevel="0" collapsed="false">
      <c r="A8" s="41" t="s">
        <v>72</v>
      </c>
      <c r="B8" s="45" t="n">
        <f aca="false">B7*169.4</f>
        <v>423.5</v>
      </c>
      <c r="C8" s="20"/>
      <c r="D8" s="30" t="s">
        <v>67</v>
      </c>
      <c r="E8" s="31" t="n">
        <f aca="false">SUM(B8,E7)</f>
        <v>423.5</v>
      </c>
    </row>
    <row r="9" customFormat="false" ht="15.75" hidden="false" customHeight="true" outlineLevel="0" collapsed="false">
      <c r="C9" s="34"/>
    </row>
    <row r="10" customFormat="false" ht="15.75" hidden="false" customHeight="true" outlineLevel="0" collapsed="false">
      <c r="A10" s="37" t="s">
        <v>76</v>
      </c>
      <c r="B10" s="38" t="n">
        <f aca="false">PRODUCT(B8,40%)</f>
        <v>169.4</v>
      </c>
      <c r="C10" s="39"/>
      <c r="D10" s="37" t="s">
        <v>76</v>
      </c>
      <c r="E10" s="38" t="n">
        <f aca="false">PRODUCT(E8,40%)</f>
        <v>169.4</v>
      </c>
    </row>
    <row r="11" customFormat="false" ht="15.75" hidden="false" customHeight="true" outlineLevel="0" collapsed="false">
      <c r="A11" s="37" t="s">
        <v>70</v>
      </c>
      <c r="B11" s="38" t="n">
        <f aca="false">PRODUCT(B8,50%)</f>
        <v>211.75</v>
      </c>
      <c r="C11" s="39"/>
      <c r="D11" s="37" t="s">
        <v>70</v>
      </c>
      <c r="E11" s="38" t="n">
        <f aca="false">PRODUCT(E8,50%)</f>
        <v>211.75</v>
      </c>
    </row>
    <row r="12" customFormat="false" ht="15.75" hidden="false" customHeight="true" outlineLevel="0" collapsed="false">
      <c r="A12" s="51"/>
      <c r="B12" s="52"/>
      <c r="C12" s="53"/>
      <c r="D12" s="53"/>
      <c r="E12" s="54"/>
    </row>
    <row r="13" customFormat="false" ht="15.75" hidden="false" customHeight="true" outlineLevel="0" collapsed="false">
      <c r="A13" s="55" t="s">
        <v>80</v>
      </c>
      <c r="B13" s="55"/>
      <c r="C13" s="55"/>
      <c r="D13" s="55"/>
      <c r="E13" s="55"/>
    </row>
    <row r="14" customFormat="false" ht="15.75" hidden="false" customHeight="true" outlineLevel="0" collapsed="false">
      <c r="A14" s="55" t="s">
        <v>81</v>
      </c>
      <c r="B14" s="55"/>
      <c r="C14" s="55"/>
      <c r="D14" s="55"/>
      <c r="E14" s="55"/>
    </row>
    <row r="15" customFormat="false" ht="15.75" hidden="false" customHeight="true" outlineLevel="0" collapsed="false">
      <c r="A15" s="56" t="s">
        <v>82</v>
      </c>
      <c r="B15" s="56"/>
      <c r="C15" s="56"/>
      <c r="D15" s="56"/>
      <c r="E15" s="56"/>
    </row>
    <row r="16" customFormat="false" ht="15.75" hidden="false" customHeight="true" outlineLevel="0" collapsed="false">
      <c r="A16" s="57" t="s">
        <v>83</v>
      </c>
      <c r="B16" s="57"/>
      <c r="C16" s="57"/>
      <c r="D16" s="57"/>
      <c r="E16" s="57"/>
    </row>
  </sheetData>
  <mergeCells count="7">
    <mergeCell ref="A1:E2"/>
    <mergeCell ref="D3:E3"/>
    <mergeCell ref="D4:E4"/>
    <mergeCell ref="A13:E13"/>
    <mergeCell ref="A14:E14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75"/>
    <col collapsed="false" customWidth="true" hidden="false" outlineLevel="0" max="3" min="3" style="1" width="3.5"/>
    <col collapsed="false" customWidth="true" hidden="false" outlineLevel="0" max="4" min="4" style="1" width="18"/>
    <col collapsed="false" customWidth="true" hidden="false" outlineLevel="0" max="5" min="5" style="1" width="19"/>
  </cols>
  <sheetData>
    <row r="1" customFormat="false" ht="15.75" hidden="false" customHeight="true" outlineLevel="0" collapsed="false">
      <c r="A1" s="13" t="s">
        <v>84</v>
      </c>
      <c r="B1" s="13"/>
      <c r="C1" s="13"/>
      <c r="D1" s="13"/>
      <c r="E1" s="13"/>
    </row>
    <row r="2" customFormat="false" ht="15.75" hidden="false" customHeight="true" outlineLevel="0" collapsed="false">
      <c r="A2" s="13"/>
      <c r="B2" s="13"/>
      <c r="C2" s="13"/>
      <c r="D2" s="13"/>
      <c r="E2" s="13"/>
    </row>
    <row r="3" customFormat="false" ht="15.75" hidden="false" customHeight="true" outlineLevel="0" collapsed="false">
      <c r="A3" s="14" t="s">
        <v>55</v>
      </c>
      <c r="B3" s="15" t="s">
        <v>56</v>
      </c>
      <c r="C3" s="16"/>
      <c r="D3" s="17" t="s">
        <v>57</v>
      </c>
      <c r="E3" s="17"/>
    </row>
    <row r="4" customFormat="false" ht="15.75" hidden="false" customHeight="true" outlineLevel="0" collapsed="false">
      <c r="A4" s="18" t="s">
        <v>58</v>
      </c>
      <c r="B4" s="19" t="n">
        <v>1</v>
      </c>
      <c r="C4" s="20"/>
      <c r="D4" s="21" t="s">
        <v>59</v>
      </c>
      <c r="E4" s="21"/>
    </row>
    <row r="5" customFormat="false" ht="26.25" hidden="false" customHeight="true" outlineLevel="0" collapsed="false">
      <c r="A5" s="22" t="s">
        <v>60</v>
      </c>
      <c r="B5" s="23"/>
      <c r="C5" s="20"/>
      <c r="D5" s="24" t="s">
        <v>61</v>
      </c>
      <c r="E5" s="25"/>
    </row>
    <row r="6" customFormat="false" ht="15.75" hidden="false" customHeight="true" outlineLevel="0" collapsed="false">
      <c r="A6" s="22" t="s">
        <v>85</v>
      </c>
      <c r="B6" s="23" t="n">
        <v>1.5</v>
      </c>
      <c r="C6" s="20"/>
      <c r="D6" s="26" t="s">
        <v>63</v>
      </c>
      <c r="E6" s="27"/>
    </row>
    <row r="7" customFormat="false" ht="15.75" hidden="false" customHeight="true" outlineLevel="0" collapsed="false">
      <c r="A7" s="32" t="s">
        <v>68</v>
      </c>
      <c r="B7" s="33" t="n">
        <f aca="false">SUM(B4:B6)</f>
        <v>2.5</v>
      </c>
      <c r="C7" s="20"/>
      <c r="D7" s="28" t="s">
        <v>65</v>
      </c>
      <c r="E7" s="29" t="n">
        <f aca="false">SUM(E5,E6)</f>
        <v>0</v>
      </c>
    </row>
    <row r="8" customFormat="false" ht="15.75" hidden="false" customHeight="true" outlineLevel="0" collapsed="false">
      <c r="A8" s="41" t="s">
        <v>72</v>
      </c>
      <c r="B8" s="45" t="n">
        <f aca="false">PRODUCT(B7,114.04)</f>
        <v>285.1</v>
      </c>
      <c r="C8" s="20"/>
      <c r="D8" s="30" t="s">
        <v>67</v>
      </c>
      <c r="E8" s="31" t="n">
        <f aca="false">SUM(B8,E7)</f>
        <v>285.1</v>
      </c>
    </row>
    <row r="9" customFormat="false" ht="15.75" hidden="false" customHeight="true" outlineLevel="0" collapsed="false">
      <c r="C9" s="34"/>
    </row>
    <row r="10" customFormat="false" ht="15.75" hidden="false" customHeight="true" outlineLevel="0" collapsed="false">
      <c r="A10" s="37" t="s">
        <v>76</v>
      </c>
      <c r="B10" s="38" t="n">
        <f aca="false">PRODUCT(B8,40%)</f>
        <v>114.04</v>
      </c>
      <c r="C10" s="39"/>
      <c r="D10" s="37" t="s">
        <v>76</v>
      </c>
      <c r="E10" s="38" t="n">
        <f aca="false">PRODUCT(E8,40%)</f>
        <v>114.04</v>
      </c>
    </row>
    <row r="11" customFormat="false" ht="15.75" hidden="false" customHeight="true" outlineLevel="0" collapsed="false">
      <c r="A11" s="37" t="s">
        <v>70</v>
      </c>
      <c r="B11" s="38" t="n">
        <f aca="false">PRODUCT(B8,50%)</f>
        <v>142.55</v>
      </c>
      <c r="C11" s="39"/>
      <c r="D11" s="37" t="s">
        <v>70</v>
      </c>
      <c r="E11" s="38" t="n">
        <f aca="false">PRODUCT(E8,50%)</f>
        <v>142.55</v>
      </c>
    </row>
  </sheetData>
  <mergeCells count="3">
    <mergeCell ref="A1:E2"/>
    <mergeCell ref="D3:E3"/>
    <mergeCell ref="D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2026-07-10T16:56:25Z</dcterms:created>
  <dc:creator>openpyxl</dc:creator>
  <dc:description/>
  <dc:language>pt-BR</dc:language>
  <cp:lastModifiedBy/>
  <dcterms:modified xsi:type="dcterms:W3CDTF">2026-07-10T17:14:44Z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