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📋 Demandas" sheetId="1" state="visible" r:id="rId3"/>
    <sheet name="👤 Por Memb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<sst xmlns="http://schemas.openxmlformats.org/spreadsheetml/2006/main" count="197" uniqueCount="106">
  <si>
    <t xml:space="preserve">                             DISTRIBUIÇÃO DE DEMANDAS — DIRETORIA COMERCIAL 2026  |  ORGANIZE JR.</t>
  </si>
  <si>
    <t xml:space="preserve"> Caíque · Elaine · Júlia · Lucas · Marcela · Malu  </t>
  </si>
  <si>
    <t xml:space="preserve">VISÃO RÁPIDA — ANDAMENTO DAS DEMANDAS</t>
  </si>
  <si>
    <t xml:space="preserve">Total de demandas</t>
  </si>
  <si>
    <t xml:space="preserve">✅ Concluídas</t>
  </si>
  <si>
    <t xml:space="preserve">🟡 Em andamento</t>
  </si>
  <si>
    <t xml:space="preserve">⬜ Não iniciadas</t>
  </si>
  <si>
    <t xml:space="preserve">🔴 Atrasadas</t>
  </si>
  <si>
    <t xml:space="preserve">"Grandes equipes não são construídas por pessoas perfeitas, mas por pessoas que aprenderam a trabalhar juntas com intenção." </t>
  </si>
  <si>
    <t xml:space="preserve">TABELA DE DEMANDAS — preencha e atualize semanalmente</t>
  </si>
  <si>
    <t xml:space="preserve">Área</t>
  </si>
  <si>
    <t xml:space="preserve">Tarefa / Demanda</t>
  </si>
  <si>
    <t xml:space="preserve">Responsável(is)</t>
  </si>
  <si>
    <t xml:space="preserve">Prioridade</t>
  </si>
  <si>
    <t xml:space="preserve">Prazo</t>
  </si>
  <si>
    <t xml:space="preserve">Status</t>
  </si>
  <si>
    <t xml:space="preserve">Por que é relevante</t>
  </si>
  <si>
    <t xml:space="preserve">Observações e Recomendações</t>
  </si>
  <si>
    <t xml:space="preserve">Gestão / GD&amp;F</t>
  </si>
  <si>
    <t xml:space="preserve">Finalizar GD&amp;F — tabular dados e gerar insights
(2 de 6 membros faltando)</t>
  </si>
  <si>
    <t xml:space="preserve">Elaine</t>
  </si>
  <si>
    <t xml:space="preserve">🔴 Alta</t>
  </si>
  <si>
    <t xml:space="preserve">Urgente — antes das capacitações</t>
  </si>
  <si>
    <t xml:space="preserve">O GD&amp;F precisa estar 100% para que o ciclo de capacitações possa ser estruturado. Sem os dados de mapeamento completos, as capacitações ficam genéricas.</t>
  </si>
  <si>
    <t xml:space="preserve">Prioridade máxima. Verificar quais 2 membros faltam preencher e acionar diretamente.</t>
  </si>
  <si>
    <t xml:space="preserve">Capacitação</t>
  </si>
  <si>
    <t xml:space="preserve">Estruturar o ciclo de capacitações da diretoria 2026</t>
  </si>
  <si>
    <t xml:space="preserve">Elaine + Júlia</t>
  </si>
  <si>
    <t xml:space="preserve">🟡 Média</t>
  </si>
  <si>
    <t xml:space="preserve">Após finalização do GDF</t>
  </si>
  <si>
    <t xml:space="preserve">⬜ Não iniciada</t>
  </si>
  <si>
    <t xml:space="preserve">As capacitações precisam ser baseadas nas dores mapeadas no GDF. Sem isso, os temas ficam desconectados da realidade do time.</t>
  </si>
  <si>
    <t xml:space="preserve">Depende diretamente da conclusão do GD&amp;F. Para começarmos o levantamento de formatos e dinâmicas de ciclo. </t>
  </si>
  <si>
    <t xml:space="preserve">Diagnóstico</t>
  </si>
  <si>
    <t xml:space="preserve">Revisão das reuniões diagnósticas (processo e qualidade)</t>
  </si>
  <si>
    <t xml:space="preserve">Lucas + Malu + Elaine</t>
  </si>
  <si>
    <t xml:space="preserve">Curto prazo</t>
  </si>
  <si>
    <t xml:space="preserve">Garantir que as reuniões diagnósticas estejam seguindo o padrão de qualificação. Identificar gaps antes de novas prospecções.</t>
  </si>
  <si>
    <t xml:space="preserve">Revisão final da análise diagnóstica — consolidação geral</t>
  </si>
  <si>
    <t xml:space="preserve">Elaine + Time inteiro</t>
  </si>
  <si>
    <t xml:space="preserve">Próxima RD</t>
  </si>
  <si>
    <t xml:space="preserve">Alinhar toda a diretoria sobre o que os diagnósticos revelaram. Garantir que o time entenda os padrões de dor dos clientes.</t>
  </si>
  <si>
    <t xml:space="preserve">Apresentar em formato de RD e discutir implementação, viablidade, melhorias e operação inicial </t>
  </si>
  <si>
    <t xml:space="preserve">Pós-venda </t>
  </si>
  <si>
    <t xml:space="preserve">Estruturação e realização do pós-venda junto à Projecta</t>
  </si>
  <si>
    <t xml:space="preserve">Lucas</t>
  </si>
  <si>
    <t xml:space="preserve">Antes do R&amp;S do 2º semestre</t>
  </si>
  <si>
    <t xml:space="preserve">O R&amp;S da Projecta está chegando e não é estratégico aparecer apenas para vender. O pós-venda cria conexão, agrega valor e abre espaço para identificar novas oportunidades comerciais com eles.</t>
  </si>
  <si>
    <t xml:space="preserve">Criar um momento de check-in com a Projecta: feedback sobre o serviço, compartilhamento de novidades, perguntas sobre desafios atuais. Lucas é o responsável principal.</t>
  </si>
  <si>
    <t xml:space="preserve"> CRM</t>
  </si>
  <si>
    <t xml:space="preserve">Ajustes residuais na Ploomes + Tour/apresentação da ferramenta</t>
  </si>
  <si>
    <t xml:space="preserve">Lucas + Caíque</t>
  </si>
  <si>
    <t xml:space="preserve">Definir</t>
  </si>
  <si>
    <t xml:space="preserve">A Ploomes é o CRM central da diretoria. Ajustes pendentes travam o pipeline. O tour garante que todo o time use a ferramenta de forma padronizada.</t>
  </si>
  <si>
    <t xml:space="preserve">Definir se será um tour guiado em RD ou material assíncrono. Lucas lidera os ajustes técnicos, Caíque apoia na validação do fluxo.</t>
  </si>
  <si>
    <t xml:space="preserve">Monitoramento</t>
  </si>
  <si>
    <t xml:space="preserve">Monitoramento das atividades do time e alinhamento de metas</t>
  </si>
  <si>
    <t xml:space="preserve">Marcela</t>
  </si>
  <si>
    <t xml:space="preserve">🟢 Baixa</t>
  </si>
  <si>
    <t xml:space="preserve">Contínuo — semanal</t>
  </si>
  <si>
    <t xml:space="preserve">Com a diretoria crescendo em demandas, é fundamental ter alguém acompanhando o andamento das atividades e sinalizando riscos de atraso.</t>
  </si>
  <si>
    <t xml:space="preserve">Marcela cria um ritual semanal leve de check de atividades. Pode usar o Asana como base. Entender como fazer a implementação de seu TCT em nossa realidade</t>
  </si>
  <si>
    <t xml:space="preserve">Prospecção</t>
  </si>
  <si>
    <t xml:space="preserve">Prospecção ativa — mínimo 20 empresas/semana por membro
(EJs, IES, empresas-alvo)</t>
  </si>
  <si>
    <t xml:space="preserve">Time inteiro</t>
  </si>
  <si>
    <t xml:space="preserve">Semanal — contínuo</t>
  </si>
  <si>
    <t xml:space="preserve">A prospecção constante é o combustível do pipeline. Sem volume, não há conversão. 20/semana por pessoa garante ritmo mínimo de operação.</t>
  </si>
  <si>
    <t xml:space="preserve">Nicho de Lucas: EJs de comunicação em nível nacional, usando o ICP de sobrecarga criativa e relacional. Detalhes e listas no Asana. Revisão nas RDs quinzenais.</t>
  </si>
  <si>
    <t xml:space="preserve">Prospecção junto ao Prospector Jr.
(parceria e geração de leads qualificados)</t>
  </si>
  <si>
    <t xml:space="preserve">A definir</t>
  </si>
  <si>
    <t xml:space="preserve">Prospector Jr. é uma possível parceria para ampliar leads qualificados com EJs diferentonas sem aumentar a carga operacional do time. A ativação precisa validar se a parceria gera volume, fit e assertividade comercial.</t>
  </si>
  <si>
    <t xml:space="preserve">Lucas lidera a ativação. Alinhar proposta de parceria, critérios de indicação e formato de troca antes de abordar leads gerados.</t>
  </si>
  <si>
    <t xml:space="preserve">DEMANDAS POR MEMBRO — VISÃO INDIVIDUAL</t>
  </si>
  <si>
    <t xml:space="preserve">Cada membro sabe exatamente o que é esperado dele neste ciclo</t>
  </si>
  <si>
    <t xml:space="preserve">  CAÍQUE</t>
  </si>
  <si>
    <t xml:space="preserve">Tarefa</t>
  </si>
  <si>
    <t xml:space="preserve">Ajustes residuais Ploomes (c/ Lucas)</t>
  </si>
  <si>
    <t xml:space="preserve">Prospecção — 20 empresas/semana</t>
  </si>
  <si>
    <t xml:space="preserve">Semanal</t>
  </si>
  <si>
    <t xml:space="preserve">  ELAINE</t>
  </si>
  <si>
    <t xml:space="preserve">Finalizar GD&amp;F + tabulação</t>
  </si>
  <si>
    <t xml:space="preserve">Urgente</t>
  </si>
  <si>
    <t xml:space="preserve">Estruturar ciclo de capacitações (c/ Júlia)</t>
  </si>
  <si>
    <t xml:space="preserve">Após GDF</t>
  </si>
  <si>
    <t xml:space="preserve">Revisão diagnóstica (c/ Lucas + Malu)</t>
  </si>
  <si>
    <t xml:space="preserve">Revisão final análise diagnóstica (c/ time)</t>
  </si>
  <si>
    <t xml:space="preserve">Estruturar estratégia do ciclo 2 da GD&amp;F ( de julho) em grupo </t>
  </si>
  <si>
    <t xml:space="preserve">meados de julho </t>
  </si>
  <si>
    <t xml:space="preserve">  JÚLIA</t>
  </si>
  <si>
    <t xml:space="preserve">Estruturar ciclo de capacitações (c/ Elaine)</t>
  </si>
  <si>
    <t xml:space="preserve">Após GD&amp;F</t>
  </si>
  <si>
    <t xml:space="preserve">  LUCAS</t>
  </si>
  <si>
    <t xml:space="preserve">Revisão diagnóstica (c/ Malu + Elaine)</t>
  </si>
  <si>
    <t xml:space="preserve">Pós-venda — Projecta (antes do R&amp;S)</t>
  </si>
  <si>
    <t xml:space="preserve">Antes R&amp;S 2º sem.</t>
  </si>
  <si>
    <t xml:space="preserve">Ajustes residuais Ploomes (c/ Caíque)</t>
  </si>
  <si>
    <t xml:space="preserve">Prospector Jr. — ativar parceria</t>
  </si>
  <si>
    <t xml:space="preserve">Prospecção — 20 EJs de comunicação/semana</t>
  </si>
  <si>
    <t xml:space="preserve">  MALU</t>
  </si>
  <si>
    <t xml:space="preserve">Revisão diagnóstica (c/ Lucas + Elaine)</t>
  </si>
  <si>
    <t xml:space="preserve">Acompanhamento estratégico geral do time</t>
  </si>
  <si>
    <t xml:space="preserve">Contínuo</t>
  </si>
  <si>
    <t xml:space="preserve">  MARCELA</t>
  </si>
  <si>
    <t xml:space="preserve">Monitoramento atividades + alinhamento de metas</t>
  </si>
  <si>
    <t xml:space="preserve">Prospecção — 3 a 5 empresas/semana</t>
  </si>
  <si>
    <t xml:space="preserve">Baixa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</si>
</sst>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5"/>
      <color theme="1"/>
      <name val="Calibri"/>
      <family val="0"/>
      <charset val="1"/>
    </font>
    <font>
      <sz val="15"/>
      <color rgb="FFFFFFFF"/>
      <name val="Arial"/>
      <family val="0"/>
      <charset val="1"/>
    </font>
    <font>
      <b val="true"/>
      <sz val="15"/>
      <color rgb="FF212121"/>
      <name val="Arial"/>
      <family val="0"/>
      <charset val="1"/>
    </font>
    <font>
      <b val="true"/>
      <sz val="15"/>
      <color rgb="FF1B5E20"/>
      <name val="Arial"/>
      <family val="0"/>
      <charset val="1"/>
    </font>
    <font>
      <b val="true"/>
      <sz val="15"/>
      <color rgb="FFF57F17"/>
      <name val="Arial"/>
      <family val="0"/>
      <charset val="1"/>
    </font>
    <font>
      <b val="true"/>
      <sz val="15"/>
      <color rgb="FF757575"/>
      <name val="Arial"/>
      <family val="0"/>
      <charset val="1"/>
    </font>
    <font>
      <b val="true"/>
      <sz val="15"/>
      <color rgb="FFB71C1C"/>
      <name val="Arial"/>
      <family val="0"/>
      <charset val="1"/>
    </font>
    <font>
      <sz val="15"/>
      <color rgb="FF5D4037"/>
      <name val="Arial"/>
      <family val="0"/>
      <charset val="1"/>
    </font>
    <font>
      <sz val="15"/>
      <color rgb="FF212121"/>
      <name val="Arial"/>
      <family val="0"/>
      <charset val="1"/>
    </font>
    <font>
      <b val="true"/>
      <sz val="15"/>
      <color rgb="FF5B2D8E"/>
      <name val="Arial"/>
      <family val="0"/>
      <charset val="1"/>
    </font>
    <font>
      <i val="true"/>
      <sz val="15"/>
      <color rgb="FF455A64"/>
      <name val="Arial"/>
      <family val="0"/>
      <charset val="1"/>
    </font>
    <font>
      <sz val="15"/>
      <color rgb="FF455A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212121"/>
      <name val="Arial"/>
      <family val="0"/>
      <charset val="1"/>
    </font>
    <font>
      <b val="true"/>
      <sz val="9"/>
      <color rgb="FF1B5E2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5B2D8E"/>
        <bgColor rgb="FF6A1B9A"/>
      </patternFill>
    </fill>
    <fill>
      <patternFill patternType="solid">
        <fgColor rgb="FF7B3FB5"/>
        <bgColor rgb="FF5B2D8E"/>
      </patternFill>
    </fill>
    <fill>
      <patternFill patternType="solid">
        <fgColor rgb="FFF5F5F5"/>
        <bgColor rgb="FFEEEEEE"/>
      </patternFill>
    </fill>
    <fill>
      <patternFill patternType="solid">
        <fgColor rgb="FFC8E6C9"/>
        <bgColor rgb="FFB6D7A8"/>
      </patternFill>
    </fill>
    <fill>
      <patternFill patternType="solid">
        <fgColor rgb="FFFFF9C4"/>
        <bgColor rgb="FFFBE9E7"/>
      </patternFill>
    </fill>
    <fill>
      <patternFill patternType="solid">
        <fgColor rgb="FFEEEEEE"/>
        <bgColor rgb="FFF5F5F5"/>
      </patternFill>
    </fill>
    <fill>
      <patternFill patternType="solid">
        <fgColor rgb="FFFFCDD2"/>
        <bgColor rgb="FFE1BEE7"/>
      </patternFill>
    </fill>
    <fill>
      <patternFill patternType="solid">
        <fgColor rgb="FF1B5E20"/>
        <bgColor rgb="FF455A64"/>
      </patternFill>
    </fill>
    <fill>
      <patternFill patternType="solid">
        <fgColor rgb="FF0D47A1"/>
        <bgColor rgb="FF0066CC"/>
      </patternFill>
    </fill>
    <fill>
      <patternFill patternType="solid">
        <fgColor rgb="FFF3E5F5"/>
        <bgColor rgb="FFFBE9E7"/>
      </patternFill>
    </fill>
    <fill>
      <patternFill patternType="solid">
        <fgColor rgb="FF388E3C"/>
        <bgColor rgb="FF008080"/>
      </patternFill>
    </fill>
    <fill>
      <patternFill patternType="solid">
        <fgColor rgb="FF6A1B9A"/>
        <bgColor rgb="FF5B2D8E"/>
      </patternFill>
    </fill>
    <fill>
      <patternFill patternType="solid">
        <fgColor rgb="FFE65100"/>
        <bgColor rgb="FFF57F17"/>
      </patternFill>
    </fill>
    <fill>
      <patternFill patternType="solid">
        <fgColor rgb="FFFBE9E7"/>
        <bgColor rgb="FFF3E5F5"/>
      </patternFill>
    </fill>
    <fill>
      <patternFill patternType="solid">
        <fgColor rgb="FFF57F17"/>
        <bgColor rgb="FFFF8080"/>
      </patternFill>
    </fill>
    <fill>
      <patternFill patternType="solid">
        <fgColor rgb="FFE3F2FD"/>
        <bgColor rgb="FFEEEEEE"/>
      </patternFill>
    </fill>
    <fill>
      <patternFill patternType="solid">
        <fgColor rgb="FFE1BEE7"/>
        <bgColor rgb="FFCCCCCC"/>
      </patternFill>
    </fill>
    <fill>
      <patternFill patternType="solid">
        <fgColor rgb="FFB6D7A8"/>
        <bgColor rgb="FFC8E6C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CCCCCC"/>
      <rgbColor rgb="FF757575"/>
      <rgbColor rgb="FF9999FF"/>
      <rgbColor rgb="FF7B3FB5"/>
      <rgbColor rgb="FFFFF9C4"/>
      <rgbColor rgb="FFE3F2FD"/>
      <rgbColor rgb="FF660066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8E6C9"/>
      <rgbColor rgb="FFFBE9E7"/>
      <rgbColor rgb="FFB6D7A8"/>
      <rgbColor rgb="FFF3E5F5"/>
      <rgbColor rgb="FFF5F5F5"/>
      <rgbColor rgb="FFFFCDD2"/>
      <rgbColor rgb="FF3366FF"/>
      <rgbColor rgb="FF33CCCC"/>
      <rgbColor rgb="FF99CC00"/>
      <rgbColor rgb="FFFFCC00"/>
      <rgbColor rgb="FFF57F17"/>
      <rgbColor rgb="FFE65100"/>
      <rgbColor rgb="FF455A64"/>
      <rgbColor rgb="FF969696"/>
      <rgbColor rgb="FF0D47A1"/>
      <rgbColor rgb="FF388E3C"/>
      <rgbColor rgb="FF003300"/>
      <rgbColor rgb="FF5D4037"/>
      <rgbColor rgb="FFB71C1C"/>
      <rgbColor rgb="FF993366"/>
      <rgbColor rgb="FF5B2D8E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C10" activeCellId="0" sqref="C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2"/>
    <col collapsed="false" customWidth="true" hidden="false" outlineLevel="0" max="3" min="3" style="1" width="47.29"/>
    <col collapsed="false" customWidth="true" hidden="false" outlineLevel="0" max="4" min="4" style="1" width="32.71"/>
    <col collapsed="false" customWidth="true" hidden="false" outlineLevel="0" max="5" min="5" style="1" width="18.14"/>
    <col collapsed="false" customWidth="true" hidden="false" outlineLevel="0" max="6" min="6" style="1" width="27"/>
    <col collapsed="false" customWidth="true" hidden="false" outlineLevel="0" max="7" min="7" style="1" width="22.57"/>
    <col collapsed="false" customWidth="true" hidden="false" outlineLevel="0" max="8" min="8" style="1" width="47.86"/>
    <col collapsed="false" customWidth="true" hidden="false" outlineLevel="0" max="9" min="9" style="1" width="52.29"/>
    <col collapsed="false" customWidth="true" hidden="false" outlineLevel="0" max="26" min="10" style="1" width="8.71"/>
  </cols>
  <sheetData>
    <row r="1" customFormat="false" ht="4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customFormat="false" ht="19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  <c r="K2" s="3"/>
    </row>
    <row r="3" customFormat="false" ht="18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3"/>
      <c r="K4" s="3"/>
    </row>
    <row r="5" customFormat="false" ht="60" hidden="false" customHeight="true" outlineLevel="0" collapsed="false">
      <c r="A5" s="5" t="s">
        <v>3</v>
      </c>
      <c r="B5" s="6" t="n">
        <f aca="false">COUNTIF(C10:C100,"&lt;&gt;")</f>
        <v>9</v>
      </c>
      <c r="C5" s="5" t="s">
        <v>4</v>
      </c>
      <c r="D5" s="7" t="n">
        <f aca="false">COUNTIFS(C10:C100,"&lt;&gt;",G10:G100,"✅ Concluída")</f>
        <v>0</v>
      </c>
      <c r="E5" s="5" t="s">
        <v>5</v>
      </c>
      <c r="F5" s="8" t="n">
        <f aca="false">COUNTIFS(C10:C100,"&lt;&gt;",G10:G100,"🟡 Em andamento")</f>
        <v>3</v>
      </c>
      <c r="G5" s="5" t="s">
        <v>6</v>
      </c>
      <c r="H5" s="9" t="n">
        <f aca="false">COUNTIFS(C10:C100,"&lt;&gt;",G10:G100,"⬜ Não iniciada")</f>
        <v>6</v>
      </c>
      <c r="I5" s="5" t="s">
        <v>7</v>
      </c>
      <c r="J5" s="10" t="n">
        <f aca="false">COUNTIFS(C10:C100,"&lt;&gt;",G10:G100,"🔴 Atrasada")</f>
        <v>0</v>
      </c>
      <c r="K5" s="3"/>
    </row>
    <row r="6" customFormat="false" ht="58.5" hidden="false" customHeight="true" outlineLevel="0" collapsed="false">
      <c r="A6" s="11" t="s">
        <v>8</v>
      </c>
      <c r="B6" s="11"/>
      <c r="C6" s="11"/>
      <c r="D6" s="11"/>
      <c r="E6" s="11"/>
      <c r="F6" s="11"/>
      <c r="G6" s="11"/>
      <c r="H6" s="11"/>
      <c r="I6" s="11"/>
      <c r="J6" s="3"/>
      <c r="K6" s="3"/>
    </row>
    <row r="7" customFormat="false" ht="1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24" hidden="false" customHeight="true" outlineLevel="0" collapsed="false">
      <c r="A8" s="2" t="s">
        <v>9</v>
      </c>
      <c r="B8" s="2"/>
      <c r="C8" s="2"/>
      <c r="D8" s="2"/>
      <c r="E8" s="2"/>
      <c r="F8" s="2"/>
      <c r="G8" s="2"/>
      <c r="H8" s="2"/>
      <c r="I8" s="2"/>
      <c r="J8" s="3"/>
      <c r="K8" s="3"/>
    </row>
    <row r="9" customFormat="false" ht="27.75" hidden="false" customHeight="true" outlineLevel="0" collapsed="false">
      <c r="A9" s="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12" t="s">
        <v>15</v>
      </c>
      <c r="H9" s="13" t="s">
        <v>16</v>
      </c>
      <c r="I9" s="14" t="s">
        <v>17</v>
      </c>
      <c r="J9" s="3"/>
      <c r="K9" s="3"/>
    </row>
    <row r="10" customFormat="false" ht="57" hidden="false" customHeight="true" outlineLevel="0" collapsed="false">
      <c r="A10" s="3"/>
      <c r="B10" s="5" t="s">
        <v>18</v>
      </c>
      <c r="C10" s="15" t="s">
        <v>19</v>
      </c>
      <c r="D10" s="16" t="s">
        <v>20</v>
      </c>
      <c r="E10" s="10" t="s">
        <v>21</v>
      </c>
      <c r="F10" s="17" t="s">
        <v>22</v>
      </c>
      <c r="G10" s="8" t="s">
        <v>5</v>
      </c>
      <c r="H10" s="15" t="s">
        <v>23</v>
      </c>
      <c r="I10" s="18" t="s">
        <v>24</v>
      </c>
      <c r="J10" s="3"/>
      <c r="K10" s="3"/>
    </row>
    <row r="11" customFormat="false" ht="72.75" hidden="false" customHeight="true" outlineLevel="0" collapsed="false">
      <c r="A11" s="3"/>
      <c r="B11" s="19" t="s">
        <v>25</v>
      </c>
      <c r="C11" s="20" t="s">
        <v>26</v>
      </c>
      <c r="D11" s="21" t="s">
        <v>27</v>
      </c>
      <c r="E11" s="8" t="s">
        <v>28</v>
      </c>
      <c r="F11" s="22" t="s">
        <v>29</v>
      </c>
      <c r="G11" s="6" t="s">
        <v>30</v>
      </c>
      <c r="H11" s="20" t="s">
        <v>31</v>
      </c>
      <c r="I11" s="23" t="s">
        <v>32</v>
      </c>
      <c r="J11" s="3"/>
      <c r="K11" s="3"/>
    </row>
    <row r="12" customFormat="false" ht="51.75" hidden="false" customHeight="true" outlineLevel="0" collapsed="false">
      <c r="A12" s="3"/>
      <c r="B12" s="24" t="s">
        <v>33</v>
      </c>
      <c r="C12" s="15" t="s">
        <v>34</v>
      </c>
      <c r="D12" s="16" t="s">
        <v>35</v>
      </c>
      <c r="E12" s="8" t="s">
        <v>21</v>
      </c>
      <c r="F12" s="17" t="s">
        <v>36</v>
      </c>
      <c r="G12" s="6" t="s">
        <v>30</v>
      </c>
      <c r="H12" s="15" t="s">
        <v>37</v>
      </c>
      <c r="I12" s="18"/>
      <c r="J12" s="3"/>
      <c r="K12" s="3"/>
    </row>
    <row r="13" customFormat="false" ht="58.5" hidden="false" customHeight="true" outlineLevel="0" collapsed="false">
      <c r="A13" s="3"/>
      <c r="B13" s="24" t="s">
        <v>33</v>
      </c>
      <c r="C13" s="20" t="s">
        <v>38</v>
      </c>
      <c r="D13" s="21" t="s">
        <v>39</v>
      </c>
      <c r="E13" s="8" t="s">
        <v>28</v>
      </c>
      <c r="F13" s="22" t="s">
        <v>40</v>
      </c>
      <c r="G13" s="6" t="s">
        <v>30</v>
      </c>
      <c r="H13" s="20" t="s">
        <v>41</v>
      </c>
      <c r="I13" s="23" t="s">
        <v>42</v>
      </c>
      <c r="J13" s="3"/>
      <c r="K13" s="3"/>
    </row>
    <row r="14" customFormat="false" ht="129.75" hidden="false" customHeight="true" outlineLevel="0" collapsed="false">
      <c r="A14" s="3"/>
      <c r="B14" s="25" t="s">
        <v>43</v>
      </c>
      <c r="C14" s="26" t="s">
        <v>44</v>
      </c>
      <c r="D14" s="27" t="s">
        <v>45</v>
      </c>
      <c r="E14" s="8" t="s">
        <v>21</v>
      </c>
      <c r="F14" s="28" t="s">
        <v>46</v>
      </c>
      <c r="G14" s="6" t="s">
        <v>30</v>
      </c>
      <c r="H14" s="26" t="s">
        <v>47</v>
      </c>
      <c r="I14" s="29" t="s">
        <v>48</v>
      </c>
      <c r="J14" s="3"/>
      <c r="K14" s="3"/>
    </row>
    <row r="15" customFormat="false" ht="87.75" hidden="false" customHeight="true" outlineLevel="0" collapsed="false">
      <c r="A15" s="3"/>
      <c r="B15" s="25" t="s">
        <v>49</v>
      </c>
      <c r="C15" s="20" t="s">
        <v>50</v>
      </c>
      <c r="D15" s="21" t="s">
        <v>51</v>
      </c>
      <c r="E15" s="8" t="s">
        <v>28</v>
      </c>
      <c r="F15" s="22" t="s">
        <v>52</v>
      </c>
      <c r="G15" s="8" t="s">
        <v>5</v>
      </c>
      <c r="H15" s="20" t="s">
        <v>53</v>
      </c>
      <c r="I15" s="23" t="s">
        <v>54</v>
      </c>
      <c r="J15" s="3"/>
      <c r="K15" s="3"/>
    </row>
    <row r="16" customFormat="false" ht="85.5" hidden="false" customHeight="true" outlineLevel="0" collapsed="false">
      <c r="A16" s="3"/>
      <c r="B16" s="30" t="s">
        <v>55</v>
      </c>
      <c r="C16" s="31" t="s">
        <v>56</v>
      </c>
      <c r="D16" s="32" t="s">
        <v>57</v>
      </c>
      <c r="E16" s="7" t="s">
        <v>58</v>
      </c>
      <c r="F16" s="33" t="s">
        <v>59</v>
      </c>
      <c r="G16" s="8" t="s">
        <v>30</v>
      </c>
      <c r="H16" s="31" t="s">
        <v>60</v>
      </c>
      <c r="I16" s="34" t="s">
        <v>61</v>
      </c>
      <c r="J16" s="3"/>
      <c r="K16" s="3"/>
    </row>
    <row r="17" customFormat="false" ht="87.75" hidden="false" customHeight="true" outlineLevel="0" collapsed="false">
      <c r="A17" s="3"/>
      <c r="B17" s="14" t="s">
        <v>62</v>
      </c>
      <c r="C17" s="20" t="s">
        <v>63</v>
      </c>
      <c r="D17" s="21" t="s">
        <v>64</v>
      </c>
      <c r="E17" s="7" t="s">
        <v>21</v>
      </c>
      <c r="F17" s="22" t="s">
        <v>65</v>
      </c>
      <c r="G17" s="8" t="s">
        <v>5</v>
      </c>
      <c r="H17" s="20" t="s">
        <v>66</v>
      </c>
      <c r="I17" s="23" t="s">
        <v>67</v>
      </c>
      <c r="J17" s="3"/>
      <c r="K17" s="3"/>
    </row>
    <row r="18" customFormat="false" ht="121.5" hidden="false" customHeight="true" outlineLevel="0" collapsed="false">
      <c r="A18" s="3"/>
      <c r="B18" s="14" t="s">
        <v>62</v>
      </c>
      <c r="C18" s="35" t="s">
        <v>68</v>
      </c>
      <c r="D18" s="36" t="s">
        <v>45</v>
      </c>
      <c r="E18" s="7" t="s">
        <v>28</v>
      </c>
      <c r="F18" s="37" t="s">
        <v>69</v>
      </c>
      <c r="G18" s="6" t="s">
        <v>30</v>
      </c>
      <c r="H18" s="35" t="s">
        <v>70</v>
      </c>
      <c r="I18" s="38" t="s">
        <v>71</v>
      </c>
      <c r="J18" s="3"/>
      <c r="K18" s="3"/>
    </row>
    <row r="19" customFormat="false" ht="19.5" hidden="false" customHeight="true" outlineLevel="0" collapsed="false">
      <c r="A19" s="3"/>
      <c r="B19" s="5"/>
      <c r="C19" s="20"/>
      <c r="D19" s="21"/>
      <c r="E19" s="7"/>
      <c r="F19" s="22"/>
      <c r="G19" s="6"/>
      <c r="H19" s="20"/>
      <c r="I19" s="39"/>
      <c r="J19" s="3"/>
      <c r="K19" s="3"/>
    </row>
    <row r="20" customFormat="false" ht="19.5" hidden="false" customHeight="true" outlineLevel="0" collapsed="false">
      <c r="A20" s="3"/>
      <c r="B20" s="5"/>
      <c r="C20" s="40"/>
      <c r="D20" s="41"/>
      <c r="E20" s="7"/>
      <c r="F20" s="42"/>
      <c r="G20" s="6"/>
      <c r="H20" s="40"/>
      <c r="I20" s="43"/>
      <c r="J20" s="3"/>
      <c r="K20" s="3"/>
    </row>
    <row r="21" customFormat="false" ht="19.5" hidden="false" customHeight="true" outlineLevel="0" collapsed="false">
      <c r="A21" s="3"/>
      <c r="B21" s="5"/>
      <c r="C21" s="20"/>
      <c r="D21" s="21"/>
      <c r="E21" s="7"/>
      <c r="F21" s="22"/>
      <c r="G21" s="6"/>
      <c r="H21" s="20"/>
      <c r="I21" s="39"/>
      <c r="J21" s="3"/>
      <c r="K21" s="3"/>
    </row>
    <row r="22" customFormat="false" ht="19.5" hidden="false" customHeight="true" outlineLevel="0" collapsed="false">
      <c r="A22" s="3"/>
      <c r="B22" s="5"/>
      <c r="C22" s="40"/>
      <c r="D22" s="41"/>
      <c r="E22" s="7"/>
      <c r="F22" s="42"/>
      <c r="G22" s="6"/>
      <c r="H22" s="40"/>
      <c r="I22" s="43"/>
      <c r="J22" s="3"/>
      <c r="K22" s="3"/>
    </row>
    <row r="23" customFormat="false" ht="19.5" hidden="false" customHeight="true" outlineLevel="0" collapsed="false">
      <c r="A23" s="3"/>
      <c r="B23" s="5"/>
      <c r="C23" s="20"/>
      <c r="D23" s="21"/>
      <c r="E23" s="7"/>
      <c r="F23" s="22"/>
      <c r="G23" s="6"/>
      <c r="H23" s="20"/>
      <c r="I23" s="39"/>
      <c r="J23" s="3"/>
      <c r="K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I1"/>
    <mergeCell ref="A2:I2"/>
    <mergeCell ref="A4:I4"/>
    <mergeCell ref="A6:I6"/>
    <mergeCell ref="A8:I8"/>
  </mergeCells>
  <dataValidations count="3">
    <dataValidation allowBlank="true" errorStyle="stop" operator="between" showDropDown="false" showErrorMessage="false" showInputMessage="false" sqref="D10:D43" type="list">
      <formula1>"Caíque,Elaine,Júlia,Lucas,Malu,Marcela,Caíque + Elaine,Elaine + Júlia,Lucas + Malu + Elaine,Lucas + Caíque,Elaine + Time inteiro,Time inteiro"</formula1>
      <formula2>0</formula2>
    </dataValidation>
    <dataValidation allowBlank="true" errorStyle="stop" operator="between" showDropDown="false" showErrorMessage="false" showInputMessage="false" sqref="G10:G43" type="list">
      <formula1>"🟡 Em andamento,✅ Concluída,⬜ Não iniciada,🔴 Atrasada,🔵 Em revisão,⏸ Pausada"</formula1>
      <formula2>0</formula2>
    </dataValidation>
    <dataValidation allowBlank="true" errorStyle="stop" operator="between" showDropDown="false" showErrorMessage="false" showInputMessage="false" sqref="E10:E43" type="list">
      <formula1>"🔴 Alta,🟡 Média,🟢 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8.14"/>
    <col collapsed="false" customWidth="true" hidden="false" outlineLevel="0" max="26" min="7" style="1" width="8.71"/>
  </cols>
  <sheetData>
    <row r="1" customFormat="false" ht="37.5" hidden="false" customHeight="true" outlineLevel="0" collapsed="false">
      <c r="A1" s="44" t="s">
        <v>72</v>
      </c>
      <c r="B1" s="44"/>
      <c r="C1" s="44"/>
      <c r="D1" s="44"/>
      <c r="E1" s="44"/>
      <c r="F1" s="44"/>
    </row>
    <row r="2" customFormat="false" ht="18" hidden="false" customHeight="true" outlineLevel="0" collapsed="false">
      <c r="A2" s="45" t="s">
        <v>73</v>
      </c>
      <c r="B2" s="45"/>
      <c r="C2" s="45"/>
      <c r="D2" s="45"/>
      <c r="E2" s="45"/>
      <c r="F2" s="45"/>
    </row>
    <row r="4" customFormat="false" ht="25.5" hidden="false" customHeight="true" outlineLevel="0" collapsed="false">
      <c r="B4" s="46" t="s">
        <v>74</v>
      </c>
      <c r="C4" s="46"/>
      <c r="D4" s="46"/>
      <c r="E4" s="46"/>
      <c r="F4" s="46"/>
    </row>
    <row r="5" customFormat="false" ht="19.5" hidden="false" customHeight="true" outlineLevel="0" collapsed="false">
      <c r="C5" s="47" t="s">
        <v>75</v>
      </c>
      <c r="D5" s="47" t="s">
        <v>13</v>
      </c>
      <c r="E5" s="47" t="s">
        <v>14</v>
      </c>
      <c r="F5" s="47" t="s">
        <v>15</v>
      </c>
    </row>
    <row r="6" customFormat="false" ht="21.75" hidden="false" customHeight="true" outlineLevel="0" collapsed="false">
      <c r="C6" s="48" t="s">
        <v>76</v>
      </c>
      <c r="D6" s="49" t="s">
        <v>28</v>
      </c>
      <c r="E6" s="50" t="s">
        <v>69</v>
      </c>
      <c r="F6" s="49" t="s">
        <v>5</v>
      </c>
    </row>
    <row r="7" customFormat="false" ht="21.75" hidden="false" customHeight="true" outlineLevel="0" collapsed="false">
      <c r="C7" s="51" t="s">
        <v>77</v>
      </c>
      <c r="D7" s="52" t="s">
        <v>21</v>
      </c>
      <c r="E7" s="53" t="s">
        <v>78</v>
      </c>
      <c r="F7" s="49" t="s">
        <v>5</v>
      </c>
    </row>
    <row r="9" customFormat="false" ht="25.5" hidden="false" customHeight="true" outlineLevel="0" collapsed="false">
      <c r="B9" s="54" t="s">
        <v>79</v>
      </c>
      <c r="C9" s="54"/>
      <c r="D9" s="54"/>
      <c r="E9" s="54"/>
      <c r="F9" s="54"/>
    </row>
    <row r="10" customFormat="false" ht="19.5" hidden="false" customHeight="true" outlineLevel="0" collapsed="false">
      <c r="C10" s="55" t="s">
        <v>75</v>
      </c>
      <c r="D10" s="55" t="s">
        <v>13</v>
      </c>
      <c r="E10" s="55" t="s">
        <v>14</v>
      </c>
      <c r="F10" s="55" t="s">
        <v>15</v>
      </c>
    </row>
    <row r="11" customFormat="false" ht="21.75" hidden="false" customHeight="true" outlineLevel="0" collapsed="false">
      <c r="C11" s="56" t="s">
        <v>80</v>
      </c>
      <c r="D11" s="52" t="s">
        <v>21</v>
      </c>
      <c r="E11" s="57" t="s">
        <v>81</v>
      </c>
      <c r="F11" s="49" t="s">
        <v>5</v>
      </c>
    </row>
    <row r="12" customFormat="false" ht="21.75" hidden="false" customHeight="true" outlineLevel="0" collapsed="false">
      <c r="C12" s="51" t="s">
        <v>82</v>
      </c>
      <c r="D12" s="52" t="s">
        <v>21</v>
      </c>
      <c r="E12" s="53" t="s">
        <v>83</v>
      </c>
      <c r="F12" s="58" t="s">
        <v>30</v>
      </c>
    </row>
    <row r="13" customFormat="false" ht="21.75" hidden="false" customHeight="true" outlineLevel="0" collapsed="false">
      <c r="C13" s="56" t="s">
        <v>84</v>
      </c>
      <c r="D13" s="49" t="s">
        <v>21</v>
      </c>
      <c r="E13" s="57" t="s">
        <v>36</v>
      </c>
      <c r="F13" s="58" t="s">
        <v>30</v>
      </c>
    </row>
    <row r="14" customFormat="false" ht="21.75" hidden="false" customHeight="true" outlineLevel="0" collapsed="false">
      <c r="C14" s="51" t="s">
        <v>85</v>
      </c>
      <c r="D14" s="49" t="s">
        <v>28</v>
      </c>
      <c r="E14" s="53" t="s">
        <v>40</v>
      </c>
      <c r="F14" s="58" t="s">
        <v>30</v>
      </c>
    </row>
    <row r="15" customFormat="false" ht="21.75" hidden="false" customHeight="true" outlineLevel="0" collapsed="false">
      <c r="C15" s="56" t="s">
        <v>86</v>
      </c>
      <c r="D15" s="49" t="s">
        <v>28</v>
      </c>
      <c r="E15" s="57" t="s">
        <v>87</v>
      </c>
      <c r="F15" s="49" t="s">
        <v>5</v>
      </c>
    </row>
    <row r="17" customFormat="false" ht="25.5" hidden="false" customHeight="true" outlineLevel="0" collapsed="false">
      <c r="B17" s="59" t="s">
        <v>88</v>
      </c>
      <c r="C17" s="59"/>
      <c r="D17" s="59"/>
      <c r="E17" s="59"/>
      <c r="F17" s="59"/>
    </row>
    <row r="18" customFormat="false" ht="19.5" hidden="false" customHeight="true" outlineLevel="0" collapsed="false">
      <c r="C18" s="60" t="s">
        <v>75</v>
      </c>
      <c r="D18" s="60" t="s">
        <v>13</v>
      </c>
      <c r="E18" s="60" t="s">
        <v>14</v>
      </c>
      <c r="F18" s="60" t="s">
        <v>15</v>
      </c>
    </row>
    <row r="19" customFormat="false" ht="21.75" hidden="false" customHeight="true" outlineLevel="0" collapsed="false">
      <c r="C19" s="61" t="s">
        <v>89</v>
      </c>
      <c r="D19" s="52" t="s">
        <v>21</v>
      </c>
      <c r="E19" s="62" t="s">
        <v>90</v>
      </c>
      <c r="F19" s="58" t="s">
        <v>30</v>
      </c>
    </row>
    <row r="20" customFormat="false" ht="21.75" hidden="false" customHeight="true" outlineLevel="0" collapsed="false">
      <c r="C20" s="51" t="s">
        <v>77</v>
      </c>
      <c r="D20" s="52" t="s">
        <v>21</v>
      </c>
      <c r="E20" s="53" t="s">
        <v>78</v>
      </c>
      <c r="F20" s="49" t="s">
        <v>5</v>
      </c>
    </row>
    <row r="21" customFormat="false" ht="15.75" hidden="false" customHeight="true" outlineLevel="0" collapsed="false"/>
    <row r="22" customFormat="false" ht="25.5" hidden="false" customHeight="true" outlineLevel="0" collapsed="false">
      <c r="B22" s="63" t="s">
        <v>91</v>
      </c>
      <c r="C22" s="63"/>
      <c r="D22" s="63"/>
      <c r="E22" s="63"/>
      <c r="F22" s="63"/>
    </row>
    <row r="23" customFormat="false" ht="19.5" hidden="false" customHeight="true" outlineLevel="0" collapsed="false">
      <c r="C23" s="64" t="s">
        <v>75</v>
      </c>
      <c r="D23" s="64" t="s">
        <v>13</v>
      </c>
      <c r="E23" s="64" t="s">
        <v>14</v>
      </c>
      <c r="F23" s="64" t="s">
        <v>15</v>
      </c>
    </row>
    <row r="24" customFormat="false" ht="21.75" hidden="false" customHeight="true" outlineLevel="0" collapsed="false">
      <c r="C24" s="65" t="s">
        <v>92</v>
      </c>
      <c r="D24" s="52" t="s">
        <v>21</v>
      </c>
      <c r="E24" s="66" t="s">
        <v>36</v>
      </c>
      <c r="F24" s="58" t="s">
        <v>30</v>
      </c>
    </row>
    <row r="25" customFormat="false" ht="21.75" hidden="false" customHeight="true" outlineLevel="0" collapsed="false">
      <c r="C25" s="51" t="s">
        <v>93</v>
      </c>
      <c r="D25" s="52" t="s">
        <v>21</v>
      </c>
      <c r="E25" s="53" t="s">
        <v>94</v>
      </c>
      <c r="F25" s="58" t="s">
        <v>30</v>
      </c>
    </row>
    <row r="26" customFormat="false" ht="21.75" hidden="false" customHeight="true" outlineLevel="0" collapsed="false">
      <c r="C26" s="65" t="s">
        <v>95</v>
      </c>
      <c r="D26" s="49" t="s">
        <v>28</v>
      </c>
      <c r="E26" s="66" t="s">
        <v>69</v>
      </c>
      <c r="F26" s="49" t="s">
        <v>5</v>
      </c>
    </row>
    <row r="27" customFormat="false" ht="21.75" hidden="false" customHeight="true" outlineLevel="0" collapsed="false">
      <c r="C27" s="51" t="s">
        <v>96</v>
      </c>
      <c r="D27" s="49" t="s">
        <v>28</v>
      </c>
      <c r="E27" s="53" t="s">
        <v>69</v>
      </c>
      <c r="F27" s="58" t="s">
        <v>30</v>
      </c>
    </row>
    <row r="28" customFormat="false" ht="21.75" hidden="false" customHeight="true" outlineLevel="0" collapsed="false">
      <c r="C28" s="65" t="s">
        <v>97</v>
      </c>
      <c r="D28" s="52" t="s">
        <v>21</v>
      </c>
      <c r="E28" s="66" t="s">
        <v>78</v>
      </c>
      <c r="F28" s="49" t="s">
        <v>5</v>
      </c>
    </row>
    <row r="29" customFormat="false" ht="15.75" hidden="false" customHeight="true" outlineLevel="0" collapsed="false"/>
    <row r="30" customFormat="false" ht="25.5" hidden="false" customHeight="true" outlineLevel="0" collapsed="false">
      <c r="B30" s="67" t="s">
        <v>98</v>
      </c>
      <c r="C30" s="67"/>
      <c r="D30" s="67"/>
      <c r="E30" s="67"/>
      <c r="F30" s="67"/>
    </row>
    <row r="31" customFormat="false" ht="19.5" hidden="false" customHeight="true" outlineLevel="0" collapsed="false">
      <c r="C31" s="68" t="s">
        <v>75</v>
      </c>
      <c r="D31" s="68" t="s">
        <v>13</v>
      </c>
      <c r="E31" s="68" t="s">
        <v>14</v>
      </c>
      <c r="F31" s="68" t="s">
        <v>15</v>
      </c>
    </row>
    <row r="32" customFormat="false" ht="21.75" hidden="false" customHeight="true" outlineLevel="0" collapsed="false">
      <c r="C32" s="69" t="s">
        <v>99</v>
      </c>
      <c r="D32" s="52" t="s">
        <v>21</v>
      </c>
      <c r="E32" s="70" t="s">
        <v>36</v>
      </c>
      <c r="F32" s="58" t="s">
        <v>30</v>
      </c>
    </row>
    <row r="33" customFormat="false" ht="21.75" hidden="false" customHeight="true" outlineLevel="0" collapsed="false">
      <c r="C33" s="51" t="s">
        <v>100</v>
      </c>
      <c r="D33" s="49" t="s">
        <v>28</v>
      </c>
      <c r="E33" s="53" t="s">
        <v>101</v>
      </c>
      <c r="F33" s="49" t="s">
        <v>5</v>
      </c>
    </row>
    <row r="34" customFormat="false" ht="21.75" hidden="false" customHeight="true" outlineLevel="0" collapsed="false">
      <c r="C34" s="69" t="s">
        <v>77</v>
      </c>
      <c r="D34" s="52" t="s">
        <v>21</v>
      </c>
      <c r="E34" s="70" t="s">
        <v>78</v>
      </c>
      <c r="F34" s="49" t="s">
        <v>5</v>
      </c>
    </row>
    <row r="35" customFormat="false" ht="15.75" hidden="false" customHeight="true" outlineLevel="0" collapsed="false"/>
    <row r="36" customFormat="false" ht="25.5" hidden="false" customHeight="true" outlineLevel="0" collapsed="false">
      <c r="B36" s="71" t="s">
        <v>102</v>
      </c>
      <c r="C36" s="71"/>
      <c r="D36" s="71"/>
      <c r="E36" s="71"/>
      <c r="F36" s="71"/>
    </row>
    <row r="37" customFormat="false" ht="19.5" hidden="false" customHeight="true" outlineLevel="0" collapsed="false">
      <c r="C37" s="72" t="s">
        <v>75</v>
      </c>
      <c r="D37" s="72" t="s">
        <v>13</v>
      </c>
      <c r="E37" s="72" t="s">
        <v>14</v>
      </c>
      <c r="F37" s="72" t="s">
        <v>15</v>
      </c>
    </row>
    <row r="38" customFormat="false" ht="21.75" hidden="false" customHeight="true" outlineLevel="0" collapsed="false">
      <c r="C38" s="73" t="s">
        <v>103</v>
      </c>
      <c r="D38" s="49" t="s">
        <v>28</v>
      </c>
      <c r="E38" s="74" t="s">
        <v>78</v>
      </c>
      <c r="F38" s="58" t="s">
        <v>30</v>
      </c>
    </row>
    <row r="39" customFormat="false" ht="21.75" hidden="false" customHeight="true" outlineLevel="0" collapsed="false">
      <c r="C39" s="51" t="s">
        <v>104</v>
      </c>
      <c r="D39" s="75" t="s">
        <v>105</v>
      </c>
      <c r="E39" s="53" t="s">
        <v>78</v>
      </c>
      <c r="F39" s="58" t="s">
        <v>30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1:F1"/>
    <mergeCell ref="A2:F2"/>
    <mergeCell ref="B4:F4"/>
    <mergeCell ref="B9:F9"/>
    <mergeCell ref="B17:F17"/>
    <mergeCell ref="B22:F22"/>
    <mergeCell ref="B30:F30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2026-06-10T02:59:01Z</dcterms:created>
  <dc:creator>openpyxl</dc:creator>
  <dc:description/>
  <dc:language>pt-BR</dc:language>
  <cp:lastModifiedBy/>
  <dcterms:modified xsi:type="dcterms:W3CDTF">2026-06-17T12:47:35Z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